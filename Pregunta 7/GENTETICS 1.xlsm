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\Desktop\"/>
    </mc:Choice>
  </mc:AlternateContent>
  <xr:revisionPtr revIDLastSave="0" documentId="8_{FB9BBF87-2BF4-430D-A27C-DBD69C107789}" xr6:coauthVersionLast="47" xr6:coauthVersionMax="47" xr10:uidLastSave="{00000000-0000-0000-0000-000000000000}"/>
  <bookViews>
    <workbookView xWindow="-120" yWindow="-120" windowWidth="19440" windowHeight="15000" xr2:uid="{D67F10A1-622B-4C54-B5C4-A83CDC80B6A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5" i="1" l="1"/>
  <c r="R45" i="1"/>
  <c r="Q45" i="1"/>
  <c r="P45" i="1"/>
  <c r="O45" i="1"/>
  <c r="N45" i="1"/>
  <c r="M45" i="1"/>
  <c r="L45" i="1"/>
  <c r="K45" i="1"/>
  <c r="J45" i="1"/>
  <c r="AI44" i="1"/>
  <c r="R44" i="1"/>
  <c r="Q44" i="1"/>
  <c r="P44" i="1"/>
  <c r="O44" i="1"/>
  <c r="N44" i="1"/>
  <c r="M44" i="1"/>
  <c r="L44" i="1"/>
  <c r="K44" i="1"/>
  <c r="J44" i="1"/>
  <c r="AI43" i="1"/>
  <c r="R43" i="1"/>
  <c r="Q43" i="1"/>
  <c r="P43" i="1"/>
  <c r="O43" i="1"/>
  <c r="N43" i="1"/>
  <c r="M43" i="1"/>
  <c r="L43" i="1"/>
  <c r="K43" i="1"/>
  <c r="J43" i="1"/>
  <c r="AI42" i="1"/>
  <c r="R42" i="1"/>
  <c r="Q42" i="1"/>
  <c r="P42" i="1"/>
  <c r="O42" i="1"/>
  <c r="N42" i="1"/>
  <c r="M42" i="1"/>
  <c r="L42" i="1"/>
  <c r="K42" i="1"/>
  <c r="J42" i="1"/>
  <c r="AI41" i="1"/>
  <c r="R41" i="1"/>
  <c r="Q41" i="1"/>
  <c r="P41" i="1"/>
  <c r="O41" i="1"/>
  <c r="N41" i="1"/>
  <c r="M41" i="1"/>
  <c r="L41" i="1"/>
  <c r="K41" i="1"/>
  <c r="J41" i="1"/>
  <c r="AI40" i="1"/>
  <c r="R40" i="1"/>
  <c r="Q40" i="1"/>
  <c r="P40" i="1"/>
  <c r="O40" i="1"/>
  <c r="N40" i="1"/>
  <c r="M40" i="1"/>
  <c r="L40" i="1"/>
  <c r="K40" i="1"/>
  <c r="J40" i="1"/>
  <c r="AI39" i="1"/>
  <c r="R39" i="1"/>
  <c r="Q39" i="1"/>
  <c r="P39" i="1"/>
  <c r="O39" i="1"/>
  <c r="N39" i="1"/>
  <c r="M39" i="1"/>
  <c r="L39" i="1"/>
  <c r="K39" i="1"/>
  <c r="J39" i="1"/>
  <c r="AI38" i="1"/>
  <c r="R38" i="1"/>
  <c r="Q38" i="1"/>
  <c r="P38" i="1"/>
  <c r="O38" i="1"/>
  <c r="N38" i="1"/>
  <c r="M38" i="1"/>
  <c r="L38" i="1"/>
  <c r="K38" i="1"/>
  <c r="J38" i="1"/>
  <c r="AI37" i="1"/>
  <c r="R37" i="1"/>
  <c r="Q37" i="1"/>
  <c r="P37" i="1"/>
  <c r="O37" i="1"/>
  <c r="N37" i="1"/>
  <c r="M37" i="1"/>
  <c r="L37" i="1"/>
  <c r="K37" i="1"/>
  <c r="J37" i="1"/>
  <c r="AI36" i="1"/>
  <c r="R36" i="1"/>
  <c r="Q36" i="1"/>
  <c r="P36" i="1"/>
  <c r="O36" i="1"/>
  <c r="N36" i="1"/>
  <c r="M36" i="1"/>
  <c r="L36" i="1"/>
  <c r="K36" i="1"/>
  <c r="J36" i="1"/>
  <c r="AI35" i="1"/>
  <c r="R35" i="1"/>
  <c r="Q35" i="1"/>
  <c r="P35" i="1"/>
  <c r="O35" i="1"/>
  <c r="N35" i="1"/>
  <c r="M35" i="1"/>
  <c r="L35" i="1"/>
  <c r="K35" i="1"/>
  <c r="J35" i="1"/>
  <c r="AI34" i="1"/>
  <c r="R34" i="1"/>
  <c r="Q34" i="1"/>
  <c r="P34" i="1"/>
  <c r="O34" i="1"/>
  <c r="N34" i="1"/>
  <c r="M34" i="1"/>
  <c r="L34" i="1"/>
  <c r="K34" i="1"/>
  <c r="J34" i="1"/>
  <c r="AA33" i="1"/>
  <c r="S33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K19" i="1"/>
  <c r="R30" i="1"/>
  <c r="Q30" i="1"/>
  <c r="P30" i="1"/>
  <c r="O30" i="1"/>
  <c r="N30" i="1"/>
  <c r="M30" i="1"/>
  <c r="L30" i="1"/>
  <c r="K30" i="1"/>
  <c r="J30" i="1"/>
  <c r="R29" i="1"/>
  <c r="Q29" i="1"/>
  <c r="P29" i="1"/>
  <c r="O29" i="1"/>
  <c r="N29" i="1"/>
  <c r="M29" i="1"/>
  <c r="L29" i="1"/>
  <c r="K29" i="1"/>
  <c r="J29" i="1"/>
  <c r="R28" i="1"/>
  <c r="Q28" i="1"/>
  <c r="P28" i="1"/>
  <c r="O28" i="1"/>
  <c r="N28" i="1"/>
  <c r="M28" i="1"/>
  <c r="L28" i="1"/>
  <c r="K28" i="1"/>
  <c r="J28" i="1"/>
  <c r="R27" i="1"/>
  <c r="Q27" i="1"/>
  <c r="P27" i="1"/>
  <c r="O27" i="1"/>
  <c r="N27" i="1"/>
  <c r="M27" i="1"/>
  <c r="L27" i="1"/>
  <c r="K27" i="1"/>
  <c r="J27" i="1"/>
  <c r="R26" i="1"/>
  <c r="Q26" i="1"/>
  <c r="P26" i="1"/>
  <c r="O26" i="1"/>
  <c r="N26" i="1"/>
  <c r="M26" i="1"/>
  <c r="L26" i="1"/>
  <c r="K26" i="1"/>
  <c r="J26" i="1"/>
  <c r="R25" i="1"/>
  <c r="Q25" i="1"/>
  <c r="P25" i="1"/>
  <c r="O25" i="1"/>
  <c r="N25" i="1"/>
  <c r="M25" i="1"/>
  <c r="L25" i="1"/>
  <c r="K25" i="1"/>
  <c r="J25" i="1"/>
  <c r="R24" i="1"/>
  <c r="Q24" i="1"/>
  <c r="P24" i="1"/>
  <c r="O24" i="1"/>
  <c r="N24" i="1"/>
  <c r="M24" i="1"/>
  <c r="L24" i="1"/>
  <c r="K24" i="1"/>
  <c r="J24" i="1"/>
  <c r="R23" i="1"/>
  <c r="Q23" i="1"/>
  <c r="P23" i="1"/>
  <c r="O23" i="1"/>
  <c r="N23" i="1"/>
  <c r="M23" i="1"/>
  <c r="L23" i="1"/>
  <c r="K23" i="1"/>
  <c r="J23" i="1"/>
  <c r="R22" i="1"/>
  <c r="Q22" i="1"/>
  <c r="P22" i="1"/>
  <c r="O22" i="1"/>
  <c r="N22" i="1"/>
  <c r="M22" i="1"/>
  <c r="L22" i="1"/>
  <c r="K22" i="1"/>
  <c r="J22" i="1"/>
  <c r="R21" i="1"/>
  <c r="Q21" i="1"/>
  <c r="P21" i="1"/>
  <c r="O21" i="1"/>
  <c r="N21" i="1"/>
  <c r="M21" i="1"/>
  <c r="L21" i="1"/>
  <c r="K21" i="1"/>
  <c r="J21" i="1"/>
  <c r="R20" i="1"/>
  <c r="Q20" i="1"/>
  <c r="P20" i="1"/>
  <c r="O20" i="1"/>
  <c r="N20" i="1"/>
  <c r="M20" i="1"/>
  <c r="L20" i="1"/>
  <c r="K20" i="1"/>
  <c r="J20" i="1"/>
  <c r="R19" i="1"/>
  <c r="Q19" i="1"/>
  <c r="P19" i="1"/>
  <c r="O19" i="1"/>
  <c r="N19" i="1"/>
  <c r="M19" i="1"/>
  <c r="L19" i="1"/>
  <c r="J19" i="1"/>
  <c r="AA18" i="1"/>
  <c r="S18" i="1"/>
  <c r="AI5" i="1"/>
  <c r="AI6" i="1"/>
  <c r="AI7" i="1"/>
  <c r="AI8" i="1"/>
  <c r="AI9" i="1"/>
  <c r="AI10" i="1"/>
  <c r="AI11" i="1"/>
  <c r="AI12" i="1"/>
  <c r="AI13" i="1"/>
  <c r="AI14" i="1"/>
  <c r="AI15" i="1"/>
  <c r="AI4" i="1"/>
  <c r="AA3" i="1"/>
  <c r="S3" i="1"/>
  <c r="P4" i="1"/>
  <c r="O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K9" i="1"/>
  <c r="L9" i="1"/>
  <c r="M9" i="1"/>
  <c r="N9" i="1"/>
  <c r="O9" i="1"/>
  <c r="P9" i="1"/>
  <c r="Q9" i="1"/>
  <c r="R9" i="1"/>
  <c r="K10" i="1"/>
  <c r="L10" i="1"/>
  <c r="M10" i="1"/>
  <c r="N10" i="1"/>
  <c r="O10" i="1"/>
  <c r="P10" i="1"/>
  <c r="Q10" i="1"/>
  <c r="R10" i="1"/>
  <c r="K11" i="1"/>
  <c r="L11" i="1"/>
  <c r="M11" i="1"/>
  <c r="N11" i="1"/>
  <c r="O11" i="1"/>
  <c r="P11" i="1"/>
  <c r="Q11" i="1"/>
  <c r="R11" i="1"/>
  <c r="K12" i="1"/>
  <c r="L12" i="1"/>
  <c r="M12" i="1"/>
  <c r="N12" i="1"/>
  <c r="O12" i="1"/>
  <c r="P12" i="1"/>
  <c r="Q12" i="1"/>
  <c r="R12" i="1"/>
  <c r="K13" i="1"/>
  <c r="L13" i="1"/>
  <c r="M13" i="1"/>
  <c r="N13" i="1"/>
  <c r="O13" i="1"/>
  <c r="P13" i="1"/>
  <c r="Q13" i="1"/>
  <c r="R13" i="1"/>
  <c r="K14" i="1"/>
  <c r="L14" i="1"/>
  <c r="M14" i="1"/>
  <c r="N14" i="1"/>
  <c r="O14" i="1"/>
  <c r="P14" i="1"/>
  <c r="Q14" i="1"/>
  <c r="R14" i="1"/>
  <c r="K15" i="1"/>
  <c r="L15" i="1"/>
  <c r="M15" i="1"/>
  <c r="N15" i="1"/>
  <c r="O15" i="1"/>
  <c r="P15" i="1"/>
  <c r="Q15" i="1"/>
  <c r="R15" i="1"/>
  <c r="K4" i="1"/>
  <c r="L4" i="1"/>
  <c r="M4" i="1"/>
  <c r="N4" i="1"/>
  <c r="Q4" i="1"/>
  <c r="R4" i="1"/>
  <c r="J5" i="1"/>
  <c r="J6" i="1"/>
  <c r="J7" i="1"/>
  <c r="J8" i="1"/>
  <c r="J9" i="1"/>
  <c r="J10" i="1"/>
  <c r="J11" i="1"/>
  <c r="J12" i="1"/>
  <c r="J13" i="1"/>
  <c r="J14" i="1"/>
  <c r="J15" i="1"/>
  <c r="J4" i="1"/>
  <c r="E4" i="1"/>
  <c r="E5" i="1"/>
  <c r="E6" i="1"/>
  <c r="E7" i="1"/>
  <c r="E8" i="1"/>
  <c r="E9" i="1"/>
  <c r="E10" i="1"/>
  <c r="E11" i="1"/>
  <c r="E12" i="1"/>
  <c r="E13" i="1"/>
  <c r="E14" i="1"/>
  <c r="E15" i="1"/>
</calcChain>
</file>

<file path=xl/sharedStrings.xml><?xml version="1.0" encoding="utf-8"?>
<sst xmlns="http://schemas.openxmlformats.org/spreadsheetml/2006/main" count="24" uniqueCount="11">
  <si>
    <t>POBLACIÓN</t>
  </si>
  <si>
    <t>Nº</t>
  </si>
  <si>
    <t>GENERACIÓN 1</t>
  </si>
  <si>
    <t>ORDENAR</t>
  </si>
  <si>
    <t>RANDOM</t>
  </si>
  <si>
    <t>BINARIO</t>
  </si>
  <si>
    <r>
      <t xml:space="preserve">FUNCIÓN
</t>
    </r>
    <r>
      <rPr>
        <i/>
        <sz val="10"/>
        <color theme="0"/>
        <rFont val="Times New Roman"/>
        <family val="1"/>
      </rPr>
      <t>F(X)=X²+X+1</t>
    </r>
  </si>
  <si>
    <t>RESULTADO</t>
  </si>
  <si>
    <t>MAX (256)</t>
  </si>
  <si>
    <t>min (1)</t>
  </si>
  <si>
    <t>GENERACIÓN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</si>
</sst>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0"/>
      <name val="Malgun Gothic"/>
      <family val="2"/>
    </font>
    <font>
      <sz val="10"/>
      <color theme="1"/>
      <name val="Malgun Gothic"/>
      <family val="2"/>
    </font>
    <font>
      <sz val="9"/>
      <color theme="1"/>
      <name val="Malgun Gothic"/>
      <family val="2"/>
    </font>
    <font>
      <i/>
      <sz val="10"/>
      <color theme="0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F52B1B"/>
        <bgColor indexed="64"/>
      </patternFill>
    </fill>
    <fill>
      <patternFill patternType="solid">
        <fgColor rgb="FFF8A12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rgb="FFF7094D"/>
        <bgColor indexed="64"/>
      </patternFill>
    </fill>
    <fill>
      <patternFill patternType="solid">
        <fgColor rgb="FF7D37C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1" fontId="2" fillId="16" borderId="0" xfId="0" applyNumberFormat="1" applyFont="1" applyFill="1" applyAlignment="1">
      <alignment horizontal="center" vertical="center"/>
    </xf>
    <xf numFmtId="1" fontId="2" fillId="16" borderId="7" xfId="0" applyNumberFormat="1" applyFont="1" applyFill="1" applyBorder="1" applyAlignment="1">
      <alignment horizontal="center" vertical="center"/>
    </xf>
    <xf numFmtId="1" fontId="2" fillId="17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 textRotation="90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  <color rgb="FFFFFF00"/>
      <color rgb="FF99CCFF"/>
      <color rgb="FF3399FF"/>
      <color rgb="FF66FF66"/>
      <color rgb="FFFF99FF"/>
      <color rgb="FFFF66FF"/>
      <color rgb="FF008080"/>
      <color rgb="FF7D37C9"/>
      <color rgb="FF0E4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4763</xdr:colOff>
      <xdr:row>2</xdr:row>
      <xdr:rowOff>18947</xdr:rowOff>
    </xdr:from>
    <xdr:to>
      <xdr:col>2</xdr:col>
      <xdr:colOff>759619</xdr:colOff>
      <xdr:row>4</xdr:row>
      <xdr:rowOff>11700</xdr:rowOff>
    </xdr:to>
    <xdr:sp macro="[0]!CopySort" textlink="">
      <xdr:nvSpPr>
        <xdr:cNvPr id="5" name="Rectángulo 4">
          <a:extLst>
            <a:ext uri="{FF2B5EF4-FFF2-40B4-BE49-F238E27FC236}">
              <a16:creationId xmlns:a16="http://schemas.microsoft.com/office/drawing/2014/main" id="{B24FA944-9E64-3A2B-7614-A0699A2D7A24}"/>
            </a:ext>
          </a:extLst>
        </xdr:cNvPr>
        <xdr:cNvSpPr/>
      </xdr:nvSpPr>
      <xdr:spPr>
        <a:xfrm>
          <a:off x="766763" y="366817"/>
          <a:ext cx="1516856" cy="340622"/>
        </a:xfrm>
        <a:prstGeom prst="rect">
          <a:avLst/>
        </a:prstGeom>
        <a:solidFill>
          <a:srgbClr val="48A11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900">
              <a:latin typeface="Malgun Gothic" panose="020B0503020000020004" pitchFamily="34" charset="-127"/>
              <a:ea typeface="Malgun Gothic" panose="020B0503020000020004" pitchFamily="34" charset="-127"/>
            </a:rPr>
            <a:t>GENERAR</a:t>
          </a:r>
        </a:p>
      </xdr:txBody>
    </xdr:sp>
    <xdr:clientData/>
  </xdr:twoCellAnchor>
  <xdr:twoCellAnchor>
    <xdr:from>
      <xdr:col>1</xdr:col>
      <xdr:colOff>8075</xdr:colOff>
      <xdr:row>7</xdr:row>
      <xdr:rowOff>187912</xdr:rowOff>
    </xdr:from>
    <xdr:to>
      <xdr:col>3</xdr:col>
      <xdr:colOff>931</xdr:colOff>
      <xdr:row>9</xdr:row>
      <xdr:rowOff>183150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E3036E9D-26E9-44B0-9EA7-5A8B349AB33D}"/>
            </a:ext>
          </a:extLst>
        </xdr:cNvPr>
        <xdr:cNvSpPr/>
      </xdr:nvSpPr>
      <xdr:spPr>
        <a:xfrm>
          <a:off x="770075" y="1521412"/>
          <a:ext cx="1516856" cy="376238"/>
        </a:xfrm>
        <a:prstGeom prst="rect">
          <a:avLst/>
        </a:prstGeom>
        <a:solidFill>
          <a:srgbClr val="0E46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Bit de cruce</a:t>
          </a:r>
        </a:p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en</a:t>
          </a:r>
          <a:r>
            <a:rPr lang="es-BO" sz="800" baseline="0">
              <a:latin typeface="Malgun Gothic" panose="020B0503020000020004" pitchFamily="34" charset="-127"/>
              <a:ea typeface="Malgun Gothic" panose="020B0503020000020004" pitchFamily="34" charset="-127"/>
            </a:rPr>
            <a:t> un rango de 1 a 7</a:t>
          </a:r>
          <a:endParaRPr lang="es-BO" sz="800">
            <a:latin typeface="Malgun Gothic" panose="020B0503020000020004" pitchFamily="34" charset="-127"/>
            <a:ea typeface="Malgun Gothic" panose="020B0503020000020004" pitchFamily="34" charset="-127"/>
          </a:endParaRPr>
        </a:p>
      </xdr:txBody>
    </xdr:sp>
    <xdr:clientData/>
  </xdr:twoCellAnchor>
  <xdr:twoCellAnchor>
    <xdr:from>
      <xdr:col>1</xdr:col>
      <xdr:colOff>10432</xdr:colOff>
      <xdr:row>13</xdr:row>
      <xdr:rowOff>25573</xdr:rowOff>
    </xdr:from>
    <xdr:to>
      <xdr:col>3</xdr:col>
      <xdr:colOff>3288</xdr:colOff>
      <xdr:row>15</xdr:row>
      <xdr:rowOff>20811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10B7711C-6AC5-43F9-8E36-FB8575EC93C6}"/>
            </a:ext>
          </a:extLst>
        </xdr:cNvPr>
        <xdr:cNvSpPr/>
      </xdr:nvSpPr>
      <xdr:spPr>
        <a:xfrm>
          <a:off x="772432" y="2260285"/>
          <a:ext cx="1516856" cy="332276"/>
        </a:xfrm>
        <a:prstGeom prst="rect">
          <a:avLst/>
        </a:prstGeom>
        <a:solidFill>
          <a:srgbClr val="7D37C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BO" sz="800">
              <a:latin typeface="Malgun Gothic" panose="020B0503020000020004" pitchFamily="34" charset="-127"/>
              <a:ea typeface="Malgun Gothic" panose="020B0503020000020004" pitchFamily="34" charset="-127"/>
            </a:rPr>
            <a:t>Bit de mutación</a:t>
          </a:r>
        </a:p>
        <a:p>
          <a:pPr algn="ctr"/>
          <a:r>
            <a:rPr lang="es-BO" sz="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</a:t>
          </a:r>
          <a:r>
            <a:rPr lang="es-BO" sz="8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un rango de 1 a 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AA38-FB62-4029-9066-079D4481436A}">
  <sheetPr codeName="Hoja1"/>
  <dimension ref="B2:AI45"/>
  <sheetViews>
    <sheetView tabSelected="1" zoomScale="85" zoomScaleNormal="85" workbookViewId="0">
      <selection activeCell="AA45" sqref="AA45"/>
    </sheetView>
  </sheetViews>
  <sheetFormatPr baseColWidth="10" defaultRowHeight="13.5" x14ac:dyDescent="0.25"/>
  <cols>
    <col min="1" max="4" width="11.42578125" style="2"/>
    <col min="5" max="5" width="11" style="2" hidden="1" customWidth="1"/>
    <col min="6" max="6" width="3" style="2" customWidth="1"/>
    <col min="7" max="7" width="6" style="2" customWidth="1"/>
    <col min="8" max="8" width="12.140625" style="2" customWidth="1"/>
    <col min="9" max="9" width="12.5703125" style="2" customWidth="1"/>
    <col min="10" max="10" width="12" style="2" bestFit="1" customWidth="1"/>
    <col min="11" max="34" width="3.42578125" style="2" customWidth="1"/>
    <col min="35" max="35" width="12" style="2" customWidth="1"/>
    <col min="36" max="16384" width="11.42578125" style="2"/>
  </cols>
  <sheetData>
    <row r="2" spans="2:35" ht="15" customHeight="1" x14ac:dyDescent="0.25">
      <c r="J2" s="16" t="s">
        <v>6</v>
      </c>
      <c r="K2" s="5"/>
      <c r="L2" s="5"/>
      <c r="M2" s="5"/>
      <c r="N2" s="5"/>
      <c r="O2" s="5"/>
      <c r="P2" s="5"/>
      <c r="Q2" s="5"/>
      <c r="R2" s="5"/>
    </row>
    <row r="3" spans="2:35" x14ac:dyDescent="0.25">
      <c r="B3" s="1"/>
      <c r="C3" s="1"/>
      <c r="E3" s="9" t="s">
        <v>4</v>
      </c>
      <c r="F3" s="18" t="s">
        <v>2</v>
      </c>
      <c r="G3" s="10" t="s">
        <v>1</v>
      </c>
      <c r="H3" s="7" t="s">
        <v>0</v>
      </c>
      <c r="I3" s="8" t="s">
        <v>3</v>
      </c>
      <c r="J3" s="17"/>
      <c r="K3" s="19" t="s">
        <v>5</v>
      </c>
      <c r="L3" s="19"/>
      <c r="M3" s="19"/>
      <c r="N3" s="19"/>
      <c r="O3" s="19"/>
      <c r="P3" s="19"/>
      <c r="Q3" s="19"/>
      <c r="R3" s="19"/>
      <c r="S3" s="20" t="str">
        <f>CONCATENATE("CRUCE DESDE EL BIT ",B11)</f>
        <v>CRUCE DESDE EL BIT 7</v>
      </c>
      <c r="T3" s="20"/>
      <c r="U3" s="20"/>
      <c r="V3" s="20"/>
      <c r="W3" s="20"/>
      <c r="X3" s="20"/>
      <c r="Y3" s="20"/>
      <c r="Z3" s="20"/>
      <c r="AA3" s="21" t="str">
        <f>CONCATENATE("MUTACION EN EL BIT ",B16)</f>
        <v>MUTACION EN EL BIT 1</v>
      </c>
      <c r="AB3" s="21"/>
      <c r="AC3" s="21"/>
      <c r="AD3" s="21"/>
      <c r="AE3" s="21"/>
      <c r="AF3" s="21"/>
      <c r="AG3" s="21"/>
      <c r="AH3" s="21"/>
      <c r="AI3" s="12" t="s">
        <v>7</v>
      </c>
    </row>
    <row r="4" spans="2:35" x14ac:dyDescent="0.25">
      <c r="B4" s="1"/>
      <c r="C4" s="1"/>
      <c r="E4" s="2">
        <f ca="1">RANDBETWEEN(B6,C6)</f>
        <v>31</v>
      </c>
      <c r="F4" s="18"/>
      <c r="G4" s="6">
        <v>1</v>
      </c>
      <c r="H4" s="2">
        <v>89</v>
      </c>
      <c r="I4" s="11">
        <v>95</v>
      </c>
      <c r="J4" s="2">
        <f>(I4*I4)+I4+1</f>
        <v>9121</v>
      </c>
      <c r="K4" s="28">
        <f>MOD(QUOTIENT(QUOTIENT(QUOTIENT(QUOTIENT(QUOTIENT(QUOTIENT(QUOTIENT(I4,2),2),2),2),2),2),2),2)</f>
        <v>0</v>
      </c>
      <c r="L4" s="28">
        <f>MOD(QUOTIENT(QUOTIENT(QUOTIENT(QUOTIENT(QUOTIENT(QUOTIENT(I4,2),2),2),2),2),2),2)</f>
        <v>1</v>
      </c>
      <c r="M4" s="28">
        <f>MOD(QUOTIENT(QUOTIENT(QUOTIENT(QUOTIENT(QUOTIENT(I4,2),2),2),2),2),2)</f>
        <v>0</v>
      </c>
      <c r="N4" s="28">
        <f>MOD(QUOTIENT(QUOTIENT(QUOTIENT(QUOTIENT(I4,2),2),2),2),2)</f>
        <v>1</v>
      </c>
      <c r="O4" s="28">
        <f t="shared" ref="O4:O15" si="0">MOD(QUOTIENT(QUOTIENT(QUOTIENT(I4,2),2),2),2)</f>
        <v>1</v>
      </c>
      <c r="P4" s="28">
        <f t="shared" ref="P4:P15" si="1">MOD(QUOTIENT(QUOTIENT(I4,2),2),2)</f>
        <v>1</v>
      </c>
      <c r="Q4" s="28">
        <f>MOD(QUOTIENT(I4,2),2)</f>
        <v>1</v>
      </c>
      <c r="R4" s="13">
        <f>MOD(I4,2)</f>
        <v>1</v>
      </c>
      <c r="S4" s="28">
        <v>0</v>
      </c>
      <c r="T4" s="28">
        <v>1</v>
      </c>
      <c r="U4" s="28">
        <v>0</v>
      </c>
      <c r="V4" s="28">
        <v>1</v>
      </c>
      <c r="W4" s="28">
        <v>1</v>
      </c>
      <c r="X4" s="28">
        <v>1</v>
      </c>
      <c r="Y4" s="28">
        <v>1</v>
      </c>
      <c r="Z4" s="15">
        <v>1</v>
      </c>
      <c r="AA4" s="32">
        <v>1</v>
      </c>
      <c r="AB4" s="30">
        <v>1</v>
      </c>
      <c r="AC4" s="30">
        <v>0</v>
      </c>
      <c r="AD4" s="30">
        <v>1</v>
      </c>
      <c r="AE4" s="30">
        <v>1</v>
      </c>
      <c r="AF4" s="30">
        <v>1</v>
      </c>
      <c r="AG4" s="30">
        <v>1</v>
      </c>
      <c r="AH4" s="31">
        <v>1</v>
      </c>
      <c r="AI4" s="2">
        <f>SUM((AA4*2^7)+(AB4*2^6)+(AC4*2^5)+(AD4*2^4)+(AE4*2^3)+(AF4*2^2)+(AG4*2^1)+(AH4*2^0))</f>
        <v>223</v>
      </c>
    </row>
    <row r="5" spans="2:35" x14ac:dyDescent="0.25">
      <c r="B5" s="3" t="s">
        <v>9</v>
      </c>
      <c r="C5" s="4" t="s">
        <v>8</v>
      </c>
      <c r="E5" s="2">
        <f ca="1">RANDBETWEEN(B6,C6)</f>
        <v>43</v>
      </c>
      <c r="F5" s="18"/>
      <c r="G5" s="6">
        <v>2</v>
      </c>
      <c r="H5" s="2">
        <v>22</v>
      </c>
      <c r="I5" s="11">
        <v>89</v>
      </c>
      <c r="J5" s="2">
        <f t="shared" ref="J5:J15" si="2">(I5*I5)+I5+1</f>
        <v>8011</v>
      </c>
      <c r="K5" s="28">
        <f t="shared" ref="K5:K15" si="3">MOD(QUOTIENT(QUOTIENT(QUOTIENT(QUOTIENT(QUOTIENT(QUOTIENT(QUOTIENT(I5,2),2),2),2),2),2),2),2)</f>
        <v>0</v>
      </c>
      <c r="L5" s="28">
        <f t="shared" ref="L5:L15" si="4">MOD(QUOTIENT(QUOTIENT(QUOTIENT(QUOTIENT(QUOTIENT(QUOTIENT(I5,2),2),2),2),2),2),2)</f>
        <v>1</v>
      </c>
      <c r="M5" s="28">
        <f t="shared" ref="M5:M15" si="5">MOD(QUOTIENT(QUOTIENT(QUOTIENT(QUOTIENT(QUOTIENT(I5,2),2),2),2),2),2)</f>
        <v>0</v>
      </c>
      <c r="N5" s="28">
        <f t="shared" ref="N5:N15" si="6">MOD(QUOTIENT(QUOTIENT(QUOTIENT(QUOTIENT(I5,2),2),2),2),2)</f>
        <v>1</v>
      </c>
      <c r="O5" s="28">
        <f t="shared" si="0"/>
        <v>1</v>
      </c>
      <c r="P5" s="28">
        <f t="shared" si="1"/>
        <v>0</v>
      </c>
      <c r="Q5" s="28">
        <f t="shared" ref="Q5:Q15" si="7">MOD(QUOTIENT(I5,2),2)</f>
        <v>0</v>
      </c>
      <c r="R5" s="15">
        <f t="shared" ref="R5:R15" si="8">MOD(I5,2)</f>
        <v>1</v>
      </c>
      <c r="S5" s="29">
        <v>0</v>
      </c>
      <c r="T5" s="29">
        <v>1</v>
      </c>
      <c r="U5" s="29">
        <v>0</v>
      </c>
      <c r="V5" s="29">
        <v>1</v>
      </c>
      <c r="W5" s="29">
        <v>1</v>
      </c>
      <c r="X5" s="29">
        <v>0</v>
      </c>
      <c r="Y5" s="29">
        <v>0</v>
      </c>
      <c r="Z5" s="14">
        <v>1</v>
      </c>
      <c r="AA5" s="32">
        <v>1</v>
      </c>
      <c r="AB5" s="30">
        <v>1</v>
      </c>
      <c r="AC5" s="30">
        <v>0</v>
      </c>
      <c r="AD5" s="30">
        <v>1</v>
      </c>
      <c r="AE5" s="30">
        <v>1</v>
      </c>
      <c r="AF5" s="30">
        <v>0</v>
      </c>
      <c r="AG5" s="30">
        <v>0</v>
      </c>
      <c r="AH5" s="31">
        <v>1</v>
      </c>
      <c r="AI5" s="2">
        <f t="shared" ref="AI5:AI15" si="9">SUM((AA5*2^7)+(AB5*2^6)+(AC5*2^5)+(AD5*2^4)+(AE5*2^3)+(AF5*2^2)+(AG5*2^1)+(AH5*2^0))</f>
        <v>217</v>
      </c>
    </row>
    <row r="6" spans="2:35" x14ac:dyDescent="0.25">
      <c r="B6" s="26">
        <v>2</v>
      </c>
      <c r="C6" s="26">
        <v>100</v>
      </c>
      <c r="E6" s="2">
        <f ca="1">RANDBETWEEN(B6,C6)</f>
        <v>90</v>
      </c>
      <c r="F6" s="18"/>
      <c r="G6" s="6">
        <v>3</v>
      </c>
      <c r="H6" s="2">
        <v>32</v>
      </c>
      <c r="I6" s="11">
        <v>88</v>
      </c>
      <c r="J6" s="2">
        <f t="shared" si="2"/>
        <v>7833</v>
      </c>
      <c r="K6" s="28">
        <f t="shared" si="3"/>
        <v>0</v>
      </c>
      <c r="L6" s="28">
        <f t="shared" si="4"/>
        <v>1</v>
      </c>
      <c r="M6" s="28">
        <f t="shared" si="5"/>
        <v>0</v>
      </c>
      <c r="N6" s="28">
        <f t="shared" si="6"/>
        <v>1</v>
      </c>
      <c r="O6" s="28">
        <f t="shared" si="0"/>
        <v>1</v>
      </c>
      <c r="P6" s="28">
        <f t="shared" si="1"/>
        <v>0</v>
      </c>
      <c r="Q6" s="28">
        <f t="shared" si="7"/>
        <v>0</v>
      </c>
      <c r="R6" s="13">
        <f t="shared" si="8"/>
        <v>0</v>
      </c>
      <c r="S6" s="28">
        <v>0</v>
      </c>
      <c r="T6" s="28">
        <v>1</v>
      </c>
      <c r="U6" s="28">
        <v>0</v>
      </c>
      <c r="V6" s="28">
        <v>1</v>
      </c>
      <c r="W6" s="28">
        <v>1</v>
      </c>
      <c r="X6" s="28">
        <v>0</v>
      </c>
      <c r="Y6" s="28">
        <v>0</v>
      </c>
      <c r="Z6" s="15">
        <v>0</v>
      </c>
      <c r="AA6" s="32">
        <v>1</v>
      </c>
      <c r="AB6" s="30">
        <v>1</v>
      </c>
      <c r="AC6" s="30">
        <v>0</v>
      </c>
      <c r="AD6" s="30">
        <v>1</v>
      </c>
      <c r="AE6" s="30">
        <v>1</v>
      </c>
      <c r="AF6" s="30">
        <v>0</v>
      </c>
      <c r="AG6" s="30">
        <v>0</v>
      </c>
      <c r="AH6" s="31">
        <v>0</v>
      </c>
      <c r="AI6" s="2">
        <f t="shared" si="9"/>
        <v>216</v>
      </c>
    </row>
    <row r="7" spans="2:35" x14ac:dyDescent="0.25">
      <c r="B7" s="27"/>
      <c r="C7" s="27"/>
      <c r="E7" s="2">
        <f ca="1">RANDBETWEEN(B6,C6)</f>
        <v>78</v>
      </c>
      <c r="F7" s="18"/>
      <c r="G7" s="6">
        <v>4</v>
      </c>
      <c r="H7" s="2">
        <v>64</v>
      </c>
      <c r="I7" s="11">
        <v>64</v>
      </c>
      <c r="J7" s="2">
        <f t="shared" si="2"/>
        <v>4161</v>
      </c>
      <c r="K7" s="28">
        <f t="shared" si="3"/>
        <v>0</v>
      </c>
      <c r="L7" s="28">
        <f t="shared" si="4"/>
        <v>1</v>
      </c>
      <c r="M7" s="28">
        <f t="shared" si="5"/>
        <v>0</v>
      </c>
      <c r="N7" s="28">
        <f t="shared" si="6"/>
        <v>0</v>
      </c>
      <c r="O7" s="28">
        <f t="shared" si="0"/>
        <v>0</v>
      </c>
      <c r="P7" s="28">
        <f t="shared" si="1"/>
        <v>0</v>
      </c>
      <c r="Q7" s="28">
        <f t="shared" si="7"/>
        <v>0</v>
      </c>
      <c r="R7" s="15">
        <f t="shared" si="8"/>
        <v>0</v>
      </c>
      <c r="S7" s="29">
        <v>0</v>
      </c>
      <c r="T7" s="29">
        <v>1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14">
        <v>0</v>
      </c>
      <c r="AA7" s="32">
        <v>1</v>
      </c>
      <c r="AB7" s="30">
        <v>1</v>
      </c>
      <c r="AC7" s="30">
        <v>0</v>
      </c>
      <c r="AD7" s="30">
        <v>0</v>
      </c>
      <c r="AE7" s="30">
        <v>0</v>
      </c>
      <c r="AF7" s="30">
        <v>0</v>
      </c>
      <c r="AG7" s="30">
        <v>0</v>
      </c>
      <c r="AH7" s="31">
        <v>0</v>
      </c>
      <c r="AI7" s="2">
        <f t="shared" si="9"/>
        <v>192</v>
      </c>
    </row>
    <row r="8" spans="2:35" x14ac:dyDescent="0.25">
      <c r="E8" s="2">
        <f ca="1">RANDBETWEEN(B6,C6)</f>
        <v>95</v>
      </c>
      <c r="F8" s="18"/>
      <c r="G8" s="6">
        <v>5</v>
      </c>
      <c r="H8" s="2">
        <v>95</v>
      </c>
      <c r="I8" s="11">
        <v>58</v>
      </c>
      <c r="J8" s="2">
        <f t="shared" si="2"/>
        <v>3423</v>
      </c>
      <c r="K8" s="28">
        <f t="shared" si="3"/>
        <v>0</v>
      </c>
      <c r="L8" s="28">
        <f t="shared" si="4"/>
        <v>0</v>
      </c>
      <c r="M8" s="28">
        <f t="shared" si="5"/>
        <v>1</v>
      </c>
      <c r="N8" s="28">
        <f t="shared" si="6"/>
        <v>1</v>
      </c>
      <c r="O8" s="28">
        <f t="shared" si="0"/>
        <v>1</v>
      </c>
      <c r="P8" s="28">
        <f t="shared" si="1"/>
        <v>0</v>
      </c>
      <c r="Q8" s="28">
        <f t="shared" si="7"/>
        <v>1</v>
      </c>
      <c r="R8" s="13">
        <f t="shared" si="8"/>
        <v>0</v>
      </c>
      <c r="S8" s="28">
        <v>0</v>
      </c>
      <c r="T8" s="28">
        <v>0</v>
      </c>
      <c r="U8" s="28">
        <v>1</v>
      </c>
      <c r="V8" s="28">
        <v>1</v>
      </c>
      <c r="W8" s="28">
        <v>1</v>
      </c>
      <c r="X8" s="28">
        <v>0</v>
      </c>
      <c r="Y8" s="28">
        <v>1</v>
      </c>
      <c r="Z8" s="15">
        <v>1</v>
      </c>
      <c r="AA8" s="32">
        <v>1</v>
      </c>
      <c r="AB8" s="30">
        <v>0</v>
      </c>
      <c r="AC8" s="30">
        <v>1</v>
      </c>
      <c r="AD8" s="30">
        <v>1</v>
      </c>
      <c r="AE8" s="30">
        <v>1</v>
      </c>
      <c r="AF8" s="30">
        <v>0</v>
      </c>
      <c r="AG8" s="30">
        <v>1</v>
      </c>
      <c r="AH8" s="31">
        <v>1</v>
      </c>
      <c r="AI8" s="2">
        <f t="shared" si="9"/>
        <v>187</v>
      </c>
    </row>
    <row r="9" spans="2:35" ht="15" customHeight="1" x14ac:dyDescent="0.25">
      <c r="B9" s="5"/>
      <c r="C9" s="1"/>
      <c r="E9" s="2">
        <f ca="1">RANDBETWEEN(B6,C6)</f>
        <v>29</v>
      </c>
      <c r="F9" s="18"/>
      <c r="G9" s="6">
        <v>6</v>
      </c>
      <c r="H9" s="2">
        <v>47</v>
      </c>
      <c r="I9" s="11">
        <v>47</v>
      </c>
      <c r="J9" s="2">
        <f t="shared" si="2"/>
        <v>2257</v>
      </c>
      <c r="K9" s="28">
        <f t="shared" si="3"/>
        <v>0</v>
      </c>
      <c r="L9" s="28">
        <f t="shared" si="4"/>
        <v>0</v>
      </c>
      <c r="M9" s="28">
        <f t="shared" si="5"/>
        <v>1</v>
      </c>
      <c r="N9" s="28">
        <f t="shared" si="6"/>
        <v>0</v>
      </c>
      <c r="O9" s="28">
        <f t="shared" si="0"/>
        <v>1</v>
      </c>
      <c r="P9" s="28">
        <f t="shared" si="1"/>
        <v>1</v>
      </c>
      <c r="Q9" s="28">
        <f t="shared" si="7"/>
        <v>1</v>
      </c>
      <c r="R9" s="15">
        <f t="shared" si="8"/>
        <v>1</v>
      </c>
      <c r="S9" s="29">
        <v>0</v>
      </c>
      <c r="T9" s="29">
        <v>0</v>
      </c>
      <c r="U9" s="29">
        <v>1</v>
      </c>
      <c r="V9" s="29">
        <v>0</v>
      </c>
      <c r="W9" s="29">
        <v>1</v>
      </c>
      <c r="X9" s="29">
        <v>1</v>
      </c>
      <c r="Y9" s="29">
        <v>1</v>
      </c>
      <c r="Z9" s="14">
        <v>0</v>
      </c>
      <c r="AA9" s="32">
        <v>1</v>
      </c>
      <c r="AB9" s="30">
        <v>0</v>
      </c>
      <c r="AC9" s="30">
        <v>1</v>
      </c>
      <c r="AD9" s="30">
        <v>0</v>
      </c>
      <c r="AE9" s="30">
        <v>1</v>
      </c>
      <c r="AF9" s="30">
        <v>1</v>
      </c>
      <c r="AG9" s="30">
        <v>1</v>
      </c>
      <c r="AH9" s="31">
        <v>0</v>
      </c>
      <c r="AI9" s="2">
        <f t="shared" si="9"/>
        <v>174</v>
      </c>
    </row>
    <row r="10" spans="2:35" x14ac:dyDescent="0.25">
      <c r="B10" s="1"/>
      <c r="C10" s="1"/>
      <c r="E10" s="2">
        <f ca="1">RANDBETWEEN(B6,C6)</f>
        <v>93</v>
      </c>
      <c r="F10" s="18"/>
      <c r="G10" s="6">
        <v>7</v>
      </c>
      <c r="H10" s="2">
        <v>88</v>
      </c>
      <c r="I10" s="11">
        <v>44</v>
      </c>
      <c r="J10" s="2">
        <f t="shared" si="2"/>
        <v>1981</v>
      </c>
      <c r="K10" s="28">
        <f t="shared" si="3"/>
        <v>0</v>
      </c>
      <c r="L10" s="28">
        <f t="shared" si="4"/>
        <v>0</v>
      </c>
      <c r="M10" s="28">
        <f t="shared" si="5"/>
        <v>1</v>
      </c>
      <c r="N10" s="28">
        <f t="shared" si="6"/>
        <v>0</v>
      </c>
      <c r="O10" s="28">
        <f t="shared" si="0"/>
        <v>1</v>
      </c>
      <c r="P10" s="28">
        <f t="shared" si="1"/>
        <v>1</v>
      </c>
      <c r="Q10" s="28">
        <f t="shared" si="7"/>
        <v>0</v>
      </c>
      <c r="R10" s="13">
        <f t="shared" si="8"/>
        <v>0</v>
      </c>
      <c r="S10" s="28">
        <v>0</v>
      </c>
      <c r="T10" s="28">
        <v>0</v>
      </c>
      <c r="U10" s="28">
        <v>1</v>
      </c>
      <c r="V10" s="28">
        <v>0</v>
      </c>
      <c r="W10" s="28">
        <v>1</v>
      </c>
      <c r="X10" s="28">
        <v>1</v>
      </c>
      <c r="Y10" s="28">
        <v>0</v>
      </c>
      <c r="Z10" s="15">
        <v>1</v>
      </c>
      <c r="AA10" s="32">
        <v>1</v>
      </c>
      <c r="AB10" s="30">
        <v>0</v>
      </c>
      <c r="AC10" s="30">
        <v>1</v>
      </c>
      <c r="AD10" s="30">
        <v>0</v>
      </c>
      <c r="AE10" s="30">
        <v>1</v>
      </c>
      <c r="AF10" s="30">
        <v>1</v>
      </c>
      <c r="AG10" s="30">
        <v>0</v>
      </c>
      <c r="AH10" s="31">
        <v>1</v>
      </c>
      <c r="AI10" s="2">
        <f t="shared" si="9"/>
        <v>173</v>
      </c>
    </row>
    <row r="11" spans="2:35" x14ac:dyDescent="0.25">
      <c r="B11" s="22">
        <v>7</v>
      </c>
      <c r="C11" s="23"/>
      <c r="E11" s="2">
        <f ca="1">RANDBETWEEN(B6,C6)</f>
        <v>52</v>
      </c>
      <c r="F11" s="18"/>
      <c r="G11" s="6">
        <v>8</v>
      </c>
      <c r="H11" s="2">
        <v>58</v>
      </c>
      <c r="I11" s="11">
        <v>43</v>
      </c>
      <c r="J11" s="2">
        <f t="shared" si="2"/>
        <v>1893</v>
      </c>
      <c r="K11" s="28">
        <f t="shared" si="3"/>
        <v>0</v>
      </c>
      <c r="L11" s="28">
        <f t="shared" si="4"/>
        <v>0</v>
      </c>
      <c r="M11" s="28">
        <f t="shared" si="5"/>
        <v>1</v>
      </c>
      <c r="N11" s="28">
        <f t="shared" si="6"/>
        <v>0</v>
      </c>
      <c r="O11" s="28">
        <f t="shared" si="0"/>
        <v>1</v>
      </c>
      <c r="P11" s="28">
        <f t="shared" si="1"/>
        <v>0</v>
      </c>
      <c r="Q11" s="28">
        <f t="shared" si="7"/>
        <v>1</v>
      </c>
      <c r="R11" s="15">
        <f t="shared" si="8"/>
        <v>1</v>
      </c>
      <c r="S11" s="29">
        <v>0</v>
      </c>
      <c r="T11" s="29">
        <v>0</v>
      </c>
      <c r="U11" s="29">
        <v>1</v>
      </c>
      <c r="V11" s="29">
        <v>0</v>
      </c>
      <c r="W11" s="29">
        <v>1</v>
      </c>
      <c r="X11" s="29">
        <v>0</v>
      </c>
      <c r="Y11" s="29">
        <v>1</v>
      </c>
      <c r="Z11" s="14">
        <v>0</v>
      </c>
      <c r="AA11" s="32">
        <v>1</v>
      </c>
      <c r="AB11" s="30">
        <v>0</v>
      </c>
      <c r="AC11" s="30">
        <v>1</v>
      </c>
      <c r="AD11" s="30">
        <v>0</v>
      </c>
      <c r="AE11" s="30">
        <v>1</v>
      </c>
      <c r="AF11" s="30">
        <v>0</v>
      </c>
      <c r="AG11" s="30">
        <v>1</v>
      </c>
      <c r="AH11" s="31">
        <v>0</v>
      </c>
      <c r="AI11" s="2">
        <f t="shared" si="9"/>
        <v>170</v>
      </c>
    </row>
    <row r="12" spans="2:35" x14ac:dyDescent="0.25">
      <c r="B12" s="24"/>
      <c r="C12" s="25"/>
      <c r="E12" s="2">
        <f ca="1">RANDBETWEEN(B6,C6)</f>
        <v>96</v>
      </c>
      <c r="F12" s="18"/>
      <c r="G12" s="6">
        <v>9</v>
      </c>
      <c r="H12" s="2">
        <v>43</v>
      </c>
      <c r="I12" s="11">
        <v>41</v>
      </c>
      <c r="J12" s="2">
        <f t="shared" si="2"/>
        <v>1723</v>
      </c>
      <c r="K12" s="28">
        <f t="shared" si="3"/>
        <v>0</v>
      </c>
      <c r="L12" s="28">
        <f t="shared" si="4"/>
        <v>0</v>
      </c>
      <c r="M12" s="28">
        <f t="shared" si="5"/>
        <v>1</v>
      </c>
      <c r="N12" s="28">
        <f t="shared" si="6"/>
        <v>0</v>
      </c>
      <c r="O12" s="28">
        <f t="shared" si="0"/>
        <v>1</v>
      </c>
      <c r="P12" s="28">
        <f t="shared" si="1"/>
        <v>0</v>
      </c>
      <c r="Q12" s="28">
        <f t="shared" si="7"/>
        <v>0</v>
      </c>
      <c r="R12" s="13">
        <f t="shared" si="8"/>
        <v>1</v>
      </c>
      <c r="S12" s="28">
        <v>0</v>
      </c>
      <c r="T12" s="28">
        <v>0</v>
      </c>
      <c r="U12" s="28">
        <v>1</v>
      </c>
      <c r="V12" s="28">
        <v>0</v>
      </c>
      <c r="W12" s="28">
        <v>1</v>
      </c>
      <c r="X12" s="28">
        <v>0</v>
      </c>
      <c r="Y12" s="28">
        <v>0</v>
      </c>
      <c r="Z12" s="15">
        <v>0</v>
      </c>
      <c r="AA12" s="32">
        <v>1</v>
      </c>
      <c r="AB12" s="30">
        <v>0</v>
      </c>
      <c r="AC12" s="30">
        <v>1</v>
      </c>
      <c r="AD12" s="30">
        <v>0</v>
      </c>
      <c r="AE12" s="30">
        <v>1</v>
      </c>
      <c r="AF12" s="30">
        <v>0</v>
      </c>
      <c r="AG12" s="30">
        <v>0</v>
      </c>
      <c r="AH12" s="31">
        <v>0</v>
      </c>
      <c r="AI12" s="2">
        <f t="shared" si="9"/>
        <v>168</v>
      </c>
    </row>
    <row r="13" spans="2:35" x14ac:dyDescent="0.25">
      <c r="E13" s="2">
        <f ca="1">RANDBETWEEN(B6,C6)</f>
        <v>31</v>
      </c>
      <c r="F13" s="18"/>
      <c r="G13" s="6">
        <v>10</v>
      </c>
      <c r="H13" s="2">
        <v>36</v>
      </c>
      <c r="I13" s="11">
        <v>36</v>
      </c>
      <c r="J13" s="2">
        <f t="shared" si="2"/>
        <v>1333</v>
      </c>
      <c r="K13" s="28">
        <f t="shared" si="3"/>
        <v>0</v>
      </c>
      <c r="L13" s="28">
        <f t="shared" si="4"/>
        <v>0</v>
      </c>
      <c r="M13" s="28">
        <f t="shared" si="5"/>
        <v>1</v>
      </c>
      <c r="N13" s="28">
        <f t="shared" si="6"/>
        <v>0</v>
      </c>
      <c r="O13" s="28">
        <f t="shared" si="0"/>
        <v>0</v>
      </c>
      <c r="P13" s="28">
        <f t="shared" si="1"/>
        <v>1</v>
      </c>
      <c r="Q13" s="28">
        <f t="shared" si="7"/>
        <v>0</v>
      </c>
      <c r="R13" s="15">
        <f t="shared" si="8"/>
        <v>0</v>
      </c>
      <c r="S13" s="29">
        <v>0</v>
      </c>
      <c r="T13" s="29">
        <v>0</v>
      </c>
      <c r="U13" s="29">
        <v>1</v>
      </c>
      <c r="V13" s="29">
        <v>0</v>
      </c>
      <c r="W13" s="29">
        <v>0</v>
      </c>
      <c r="X13" s="29">
        <v>1</v>
      </c>
      <c r="Y13" s="29">
        <v>0</v>
      </c>
      <c r="Z13" s="14">
        <v>1</v>
      </c>
      <c r="AA13" s="32">
        <v>1</v>
      </c>
      <c r="AB13" s="30">
        <v>0</v>
      </c>
      <c r="AC13" s="30">
        <v>1</v>
      </c>
      <c r="AD13" s="30">
        <v>0</v>
      </c>
      <c r="AE13" s="30">
        <v>0</v>
      </c>
      <c r="AF13" s="30">
        <v>1</v>
      </c>
      <c r="AG13" s="30">
        <v>0</v>
      </c>
      <c r="AH13" s="31">
        <v>1</v>
      </c>
      <c r="AI13" s="2">
        <f t="shared" si="9"/>
        <v>165</v>
      </c>
    </row>
    <row r="14" spans="2:35" x14ac:dyDescent="0.25">
      <c r="B14" s="5"/>
      <c r="C14" s="1"/>
      <c r="E14" s="2">
        <f ca="1">RANDBETWEEN(B6,C6)</f>
        <v>39</v>
      </c>
      <c r="F14" s="18"/>
      <c r="G14" s="6">
        <v>11</v>
      </c>
      <c r="H14" s="2">
        <v>44</v>
      </c>
      <c r="I14" s="11">
        <v>32</v>
      </c>
      <c r="J14" s="2">
        <f t="shared" si="2"/>
        <v>1057</v>
      </c>
      <c r="K14" s="28">
        <f t="shared" si="3"/>
        <v>0</v>
      </c>
      <c r="L14" s="28">
        <f t="shared" si="4"/>
        <v>0</v>
      </c>
      <c r="M14" s="28">
        <f t="shared" si="5"/>
        <v>1</v>
      </c>
      <c r="N14" s="28">
        <f t="shared" si="6"/>
        <v>0</v>
      </c>
      <c r="O14" s="28">
        <f t="shared" si="0"/>
        <v>0</v>
      </c>
      <c r="P14" s="28">
        <f t="shared" si="1"/>
        <v>0</v>
      </c>
      <c r="Q14" s="28">
        <f t="shared" si="7"/>
        <v>0</v>
      </c>
      <c r="R14" s="13">
        <f t="shared" si="8"/>
        <v>0</v>
      </c>
      <c r="S14" s="28">
        <v>0</v>
      </c>
      <c r="T14" s="28">
        <v>0</v>
      </c>
      <c r="U14" s="28">
        <v>1</v>
      </c>
      <c r="V14" s="28">
        <v>0</v>
      </c>
      <c r="W14" s="28">
        <v>0</v>
      </c>
      <c r="X14" s="28">
        <v>0</v>
      </c>
      <c r="Y14" s="28">
        <v>0</v>
      </c>
      <c r="Z14" s="15">
        <v>0</v>
      </c>
      <c r="AA14" s="32">
        <v>1</v>
      </c>
      <c r="AB14" s="30">
        <v>0</v>
      </c>
      <c r="AC14" s="30">
        <v>1</v>
      </c>
      <c r="AD14" s="30">
        <v>0</v>
      </c>
      <c r="AE14" s="30">
        <v>0</v>
      </c>
      <c r="AF14" s="30">
        <v>0</v>
      </c>
      <c r="AG14" s="30">
        <v>0</v>
      </c>
      <c r="AH14" s="31">
        <v>0</v>
      </c>
      <c r="AI14" s="2">
        <f t="shared" si="9"/>
        <v>160</v>
      </c>
    </row>
    <row r="15" spans="2:35" x14ac:dyDescent="0.25">
      <c r="B15" s="1"/>
      <c r="C15" s="1"/>
      <c r="E15" s="2">
        <f ca="1">RANDBETWEEN(B6,C6)</f>
        <v>34</v>
      </c>
      <c r="F15" s="18"/>
      <c r="G15" s="6">
        <v>12</v>
      </c>
      <c r="H15" s="2">
        <v>41</v>
      </c>
      <c r="I15" s="11">
        <v>22</v>
      </c>
      <c r="J15" s="2">
        <f t="shared" si="2"/>
        <v>507</v>
      </c>
      <c r="K15" s="28">
        <f t="shared" si="3"/>
        <v>0</v>
      </c>
      <c r="L15" s="28">
        <f t="shared" si="4"/>
        <v>0</v>
      </c>
      <c r="M15" s="28">
        <f t="shared" si="5"/>
        <v>0</v>
      </c>
      <c r="N15" s="28">
        <f t="shared" si="6"/>
        <v>1</v>
      </c>
      <c r="O15" s="28">
        <f t="shared" si="0"/>
        <v>0</v>
      </c>
      <c r="P15" s="28">
        <f t="shared" si="1"/>
        <v>1</v>
      </c>
      <c r="Q15" s="28">
        <f t="shared" si="7"/>
        <v>1</v>
      </c>
      <c r="R15" s="15">
        <f t="shared" si="8"/>
        <v>0</v>
      </c>
      <c r="S15" s="29">
        <v>0</v>
      </c>
      <c r="T15" s="29">
        <v>0</v>
      </c>
      <c r="U15" s="29">
        <v>0</v>
      </c>
      <c r="V15" s="29">
        <v>1</v>
      </c>
      <c r="W15" s="29">
        <v>0</v>
      </c>
      <c r="X15" s="29">
        <v>1</v>
      </c>
      <c r="Y15" s="29">
        <v>1</v>
      </c>
      <c r="Z15" s="14">
        <v>0</v>
      </c>
      <c r="AA15" s="32">
        <v>1</v>
      </c>
      <c r="AB15" s="30">
        <v>0</v>
      </c>
      <c r="AC15" s="30">
        <v>0</v>
      </c>
      <c r="AD15" s="30">
        <v>1</v>
      </c>
      <c r="AE15" s="30">
        <v>0</v>
      </c>
      <c r="AF15" s="30">
        <v>1</v>
      </c>
      <c r="AG15" s="30">
        <v>1</v>
      </c>
      <c r="AH15" s="31">
        <v>0</v>
      </c>
      <c r="AI15" s="2">
        <f t="shared" si="9"/>
        <v>150</v>
      </c>
    </row>
    <row r="16" spans="2:35" x14ac:dyDescent="0.25">
      <c r="B16" s="22">
        <v>1</v>
      </c>
      <c r="C16" s="23"/>
    </row>
    <row r="17" spans="2:35" x14ac:dyDescent="0.25">
      <c r="B17" s="24"/>
      <c r="C17" s="25"/>
      <c r="J17" s="16" t="s">
        <v>6</v>
      </c>
      <c r="K17" s="5"/>
      <c r="L17" s="5"/>
      <c r="M17" s="5"/>
      <c r="N17" s="5"/>
      <c r="O17" s="5"/>
      <c r="P17" s="5"/>
      <c r="Q17" s="5"/>
      <c r="R17" s="5"/>
    </row>
    <row r="18" spans="2:35" x14ac:dyDescent="0.25">
      <c r="F18" s="18" t="s">
        <v>10</v>
      </c>
      <c r="G18" s="10" t="s">
        <v>1</v>
      </c>
      <c r="H18" s="7" t="s">
        <v>0</v>
      </c>
      <c r="I18" s="8" t="s">
        <v>3</v>
      </c>
      <c r="J18" s="17"/>
      <c r="K18" s="19" t="s">
        <v>5</v>
      </c>
      <c r="L18" s="19"/>
      <c r="M18" s="19"/>
      <c r="N18" s="19"/>
      <c r="O18" s="19"/>
      <c r="P18" s="19"/>
      <c r="Q18" s="19"/>
      <c r="R18" s="19"/>
      <c r="S18" s="20" t="str">
        <f>CONCATENATE("CRUCE DESDE EL BIT ",B26)</f>
        <v xml:space="preserve">CRUCE DESDE EL BIT </v>
      </c>
      <c r="T18" s="20"/>
      <c r="U18" s="20"/>
      <c r="V18" s="20"/>
      <c r="W18" s="20"/>
      <c r="X18" s="20"/>
      <c r="Y18" s="20"/>
      <c r="Z18" s="20"/>
      <c r="AA18" s="21" t="str">
        <f>CONCATENATE("MUTACION EN EL BIT ",B31)</f>
        <v xml:space="preserve">MUTACION EN EL BIT </v>
      </c>
      <c r="AB18" s="21"/>
      <c r="AC18" s="21"/>
      <c r="AD18" s="21"/>
      <c r="AE18" s="21"/>
      <c r="AF18" s="21"/>
      <c r="AG18" s="21"/>
      <c r="AH18" s="21"/>
      <c r="AI18" s="12" t="s">
        <v>7</v>
      </c>
    </row>
    <row r="19" spans="2:35" x14ac:dyDescent="0.25">
      <c r="F19" s="18"/>
      <c r="G19" s="6">
        <v>1</v>
      </c>
      <c r="H19" s="2">
        <v>223</v>
      </c>
      <c r="I19" s="11">
        <v>223</v>
      </c>
      <c r="J19" s="2">
        <f>(I19*I19)+I19+1</f>
        <v>49953</v>
      </c>
      <c r="K19" s="28">
        <f>MOD(QUOTIENT(QUOTIENT(QUOTIENT(QUOTIENT(QUOTIENT(QUOTIENT(QUOTIENT(I19,2),2),2),2),2),2),2),2)</f>
        <v>1</v>
      </c>
      <c r="L19" s="28">
        <f>MOD(QUOTIENT(QUOTIENT(QUOTIENT(QUOTIENT(QUOTIENT(QUOTIENT(I19,2),2),2),2),2),2),2)</f>
        <v>1</v>
      </c>
      <c r="M19" s="28">
        <f>MOD(QUOTIENT(QUOTIENT(QUOTIENT(QUOTIENT(QUOTIENT(I19,2),2),2),2),2),2)</f>
        <v>0</v>
      </c>
      <c r="N19" s="28">
        <f>MOD(QUOTIENT(QUOTIENT(QUOTIENT(QUOTIENT(I19,2),2),2),2),2)</f>
        <v>1</v>
      </c>
      <c r="O19" s="28">
        <f t="shared" ref="O19:O30" si="10">MOD(QUOTIENT(QUOTIENT(QUOTIENT(I19,2),2),2),2)</f>
        <v>1</v>
      </c>
      <c r="P19" s="28">
        <f t="shared" ref="P19:P30" si="11">MOD(QUOTIENT(QUOTIENT(I19,2),2),2)</f>
        <v>1</v>
      </c>
      <c r="Q19" s="28">
        <f>MOD(QUOTIENT(I19,2),2)</f>
        <v>1</v>
      </c>
      <c r="R19" s="13">
        <f>MOD(I19,2)</f>
        <v>1</v>
      </c>
      <c r="S19" s="28">
        <v>0</v>
      </c>
      <c r="T19" s="28">
        <v>1</v>
      </c>
      <c r="U19" s="28">
        <v>0</v>
      </c>
      <c r="V19" s="28">
        <v>1</v>
      </c>
      <c r="W19" s="28">
        <v>1</v>
      </c>
      <c r="X19" s="28">
        <v>1</v>
      </c>
      <c r="Y19" s="28">
        <v>1</v>
      </c>
      <c r="Z19" s="15">
        <v>1</v>
      </c>
      <c r="AA19" s="33">
        <v>0</v>
      </c>
      <c r="AB19" s="30">
        <v>1</v>
      </c>
      <c r="AC19" s="30">
        <v>0</v>
      </c>
      <c r="AD19" s="30">
        <v>1</v>
      </c>
      <c r="AE19" s="30">
        <v>1</v>
      </c>
      <c r="AF19" s="30">
        <v>1</v>
      </c>
      <c r="AG19" s="30">
        <v>1</v>
      </c>
      <c r="AH19" s="31">
        <v>1</v>
      </c>
      <c r="AI19" s="2">
        <f>SUM((AA19*2^7)+(AB19*2^6)+(AC19*2^5)+(AD19*2^4)+(AE19*2^3)+(AF19*2^2)+(AG19*2^1)+(AH19*2^0))</f>
        <v>95</v>
      </c>
    </row>
    <row r="20" spans="2:35" x14ac:dyDescent="0.25">
      <c r="F20" s="18"/>
      <c r="G20" s="6">
        <v>2</v>
      </c>
      <c r="H20" s="2">
        <v>217</v>
      </c>
      <c r="I20" s="11">
        <v>217</v>
      </c>
      <c r="J20" s="2">
        <f t="shared" ref="J20:J30" si="12">(I20*I20)+I20+1</f>
        <v>47307</v>
      </c>
      <c r="K20" s="28">
        <f t="shared" ref="K20:K30" si="13">MOD(QUOTIENT(QUOTIENT(QUOTIENT(QUOTIENT(QUOTIENT(QUOTIENT(QUOTIENT(I20,2),2),2),2),2),2),2),2)</f>
        <v>1</v>
      </c>
      <c r="L20" s="28">
        <f t="shared" ref="L20:L30" si="14">MOD(QUOTIENT(QUOTIENT(QUOTIENT(QUOTIENT(QUOTIENT(QUOTIENT(I20,2),2),2),2),2),2),2)</f>
        <v>1</v>
      </c>
      <c r="M20" s="28">
        <f t="shared" ref="M20:M30" si="15">MOD(QUOTIENT(QUOTIENT(QUOTIENT(QUOTIENT(QUOTIENT(I20,2),2),2),2),2),2)</f>
        <v>0</v>
      </c>
      <c r="N20" s="28">
        <f t="shared" ref="N20:N30" si="16">MOD(QUOTIENT(QUOTIENT(QUOTIENT(QUOTIENT(I20,2),2),2),2),2)</f>
        <v>1</v>
      </c>
      <c r="O20" s="28">
        <f t="shared" si="10"/>
        <v>1</v>
      </c>
      <c r="P20" s="28">
        <f t="shared" si="11"/>
        <v>0</v>
      </c>
      <c r="Q20" s="28">
        <f t="shared" ref="Q20:Q30" si="17">MOD(QUOTIENT(I20,2),2)</f>
        <v>0</v>
      </c>
      <c r="R20" s="15">
        <f t="shared" ref="R20:R30" si="18">MOD(I20,2)</f>
        <v>1</v>
      </c>
      <c r="S20" s="29">
        <v>0</v>
      </c>
      <c r="T20" s="29">
        <v>1</v>
      </c>
      <c r="U20" s="29">
        <v>0</v>
      </c>
      <c r="V20" s="29">
        <v>1</v>
      </c>
      <c r="W20" s="29">
        <v>1</v>
      </c>
      <c r="X20" s="29">
        <v>0</v>
      </c>
      <c r="Y20" s="29">
        <v>0</v>
      </c>
      <c r="Z20" s="14">
        <v>1</v>
      </c>
      <c r="AA20" s="33">
        <v>0</v>
      </c>
      <c r="AB20" s="30">
        <v>1</v>
      </c>
      <c r="AC20" s="30">
        <v>0</v>
      </c>
      <c r="AD20" s="30">
        <v>1</v>
      </c>
      <c r="AE20" s="30">
        <v>1</v>
      </c>
      <c r="AF20" s="30">
        <v>0</v>
      </c>
      <c r="AG20" s="30">
        <v>0</v>
      </c>
      <c r="AH20" s="31">
        <v>1</v>
      </c>
      <c r="AI20" s="2">
        <f t="shared" ref="AI20:AI30" si="19">SUM((AA20*2^7)+(AB20*2^6)+(AC20*2^5)+(AD20*2^4)+(AE20*2^3)+(AF20*2^2)+(AG20*2^1)+(AH20*2^0))</f>
        <v>89</v>
      </c>
    </row>
    <row r="21" spans="2:35" x14ac:dyDescent="0.25">
      <c r="F21" s="18"/>
      <c r="G21" s="6">
        <v>3</v>
      </c>
      <c r="H21" s="2">
        <v>216</v>
      </c>
      <c r="I21" s="11">
        <v>216</v>
      </c>
      <c r="J21" s="2">
        <f t="shared" si="12"/>
        <v>46873</v>
      </c>
      <c r="K21" s="28">
        <f t="shared" si="13"/>
        <v>1</v>
      </c>
      <c r="L21" s="28">
        <f t="shared" si="14"/>
        <v>1</v>
      </c>
      <c r="M21" s="28">
        <f t="shared" si="15"/>
        <v>0</v>
      </c>
      <c r="N21" s="28">
        <f t="shared" si="16"/>
        <v>1</v>
      </c>
      <c r="O21" s="28">
        <f t="shared" si="10"/>
        <v>1</v>
      </c>
      <c r="P21" s="28">
        <f t="shared" si="11"/>
        <v>0</v>
      </c>
      <c r="Q21" s="28">
        <f t="shared" si="17"/>
        <v>0</v>
      </c>
      <c r="R21" s="13">
        <f t="shared" si="18"/>
        <v>0</v>
      </c>
      <c r="S21" s="28">
        <v>0</v>
      </c>
      <c r="T21" s="28">
        <v>1</v>
      </c>
      <c r="U21" s="28">
        <v>0</v>
      </c>
      <c r="V21" s="28">
        <v>1</v>
      </c>
      <c r="W21" s="28">
        <v>1</v>
      </c>
      <c r="X21" s="28">
        <v>0</v>
      </c>
      <c r="Y21" s="28">
        <v>0</v>
      </c>
      <c r="Z21" s="15">
        <v>0</v>
      </c>
      <c r="AA21" s="33">
        <v>0</v>
      </c>
      <c r="AB21" s="30">
        <v>1</v>
      </c>
      <c r="AC21" s="30">
        <v>0</v>
      </c>
      <c r="AD21" s="30">
        <v>1</v>
      </c>
      <c r="AE21" s="30">
        <v>1</v>
      </c>
      <c r="AF21" s="30">
        <v>0</v>
      </c>
      <c r="AG21" s="30">
        <v>0</v>
      </c>
      <c r="AH21" s="31">
        <v>0</v>
      </c>
      <c r="AI21" s="2">
        <f t="shared" si="19"/>
        <v>88</v>
      </c>
    </row>
    <row r="22" spans="2:35" x14ac:dyDescent="0.25">
      <c r="F22" s="18"/>
      <c r="G22" s="6">
        <v>4</v>
      </c>
      <c r="H22" s="2">
        <v>192</v>
      </c>
      <c r="I22" s="11">
        <v>192</v>
      </c>
      <c r="J22" s="2">
        <f t="shared" si="12"/>
        <v>37057</v>
      </c>
      <c r="K22" s="28">
        <f t="shared" si="13"/>
        <v>1</v>
      </c>
      <c r="L22" s="28">
        <f t="shared" si="14"/>
        <v>1</v>
      </c>
      <c r="M22" s="28">
        <f t="shared" si="15"/>
        <v>0</v>
      </c>
      <c r="N22" s="28">
        <f t="shared" si="16"/>
        <v>0</v>
      </c>
      <c r="O22" s="28">
        <f t="shared" si="10"/>
        <v>0</v>
      </c>
      <c r="P22" s="28">
        <f t="shared" si="11"/>
        <v>0</v>
      </c>
      <c r="Q22" s="28">
        <f t="shared" si="17"/>
        <v>0</v>
      </c>
      <c r="R22" s="15">
        <f t="shared" si="18"/>
        <v>0</v>
      </c>
      <c r="S22" s="29">
        <v>0</v>
      </c>
      <c r="T22" s="29">
        <v>1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14">
        <v>0</v>
      </c>
      <c r="AA22" s="33">
        <v>0</v>
      </c>
      <c r="AB22" s="30">
        <v>1</v>
      </c>
      <c r="AC22" s="30">
        <v>0</v>
      </c>
      <c r="AD22" s="30">
        <v>0</v>
      </c>
      <c r="AE22" s="30">
        <v>0</v>
      </c>
      <c r="AF22" s="30">
        <v>0</v>
      </c>
      <c r="AG22" s="30">
        <v>0</v>
      </c>
      <c r="AH22" s="31">
        <v>0</v>
      </c>
      <c r="AI22" s="2">
        <f t="shared" si="19"/>
        <v>64</v>
      </c>
    </row>
    <row r="23" spans="2:35" x14ac:dyDescent="0.25">
      <c r="F23" s="18"/>
      <c r="G23" s="6">
        <v>5</v>
      </c>
      <c r="H23" s="2">
        <v>187</v>
      </c>
      <c r="I23" s="11">
        <v>187</v>
      </c>
      <c r="J23" s="2">
        <f t="shared" si="12"/>
        <v>35157</v>
      </c>
      <c r="K23" s="28">
        <f t="shared" si="13"/>
        <v>1</v>
      </c>
      <c r="L23" s="28">
        <f t="shared" si="14"/>
        <v>0</v>
      </c>
      <c r="M23" s="28">
        <f t="shared" si="15"/>
        <v>1</v>
      </c>
      <c r="N23" s="28">
        <f t="shared" si="16"/>
        <v>1</v>
      </c>
      <c r="O23" s="28">
        <f t="shared" si="10"/>
        <v>1</v>
      </c>
      <c r="P23" s="28">
        <f t="shared" si="11"/>
        <v>0</v>
      </c>
      <c r="Q23" s="28">
        <f t="shared" si="17"/>
        <v>1</v>
      </c>
      <c r="R23" s="13">
        <f t="shared" si="18"/>
        <v>1</v>
      </c>
      <c r="S23" s="28">
        <v>0</v>
      </c>
      <c r="T23" s="28">
        <v>0</v>
      </c>
      <c r="U23" s="28">
        <v>1</v>
      </c>
      <c r="V23" s="28">
        <v>1</v>
      </c>
      <c r="W23" s="28">
        <v>1</v>
      </c>
      <c r="X23" s="28">
        <v>0</v>
      </c>
      <c r="Y23" s="28">
        <v>1</v>
      </c>
      <c r="Z23" s="15">
        <v>0</v>
      </c>
      <c r="AA23" s="33">
        <v>0</v>
      </c>
      <c r="AB23" s="30">
        <v>0</v>
      </c>
      <c r="AC23" s="30">
        <v>1</v>
      </c>
      <c r="AD23" s="30">
        <v>1</v>
      </c>
      <c r="AE23" s="30">
        <v>1</v>
      </c>
      <c r="AF23" s="30">
        <v>0</v>
      </c>
      <c r="AG23" s="30">
        <v>1</v>
      </c>
      <c r="AH23" s="31">
        <v>0</v>
      </c>
      <c r="AI23" s="2">
        <f t="shared" si="19"/>
        <v>58</v>
      </c>
    </row>
    <row r="24" spans="2:35" x14ac:dyDescent="0.25">
      <c r="F24" s="18"/>
      <c r="G24" s="6">
        <v>6</v>
      </c>
      <c r="H24" s="2">
        <v>174</v>
      </c>
      <c r="I24" s="11">
        <v>174</v>
      </c>
      <c r="J24" s="2">
        <f t="shared" si="12"/>
        <v>30451</v>
      </c>
      <c r="K24" s="28">
        <f t="shared" si="13"/>
        <v>1</v>
      </c>
      <c r="L24" s="28">
        <f t="shared" si="14"/>
        <v>0</v>
      </c>
      <c r="M24" s="28">
        <f t="shared" si="15"/>
        <v>1</v>
      </c>
      <c r="N24" s="28">
        <f t="shared" si="16"/>
        <v>0</v>
      </c>
      <c r="O24" s="28">
        <f t="shared" si="10"/>
        <v>1</v>
      </c>
      <c r="P24" s="28">
        <f t="shared" si="11"/>
        <v>1</v>
      </c>
      <c r="Q24" s="28">
        <f t="shared" si="17"/>
        <v>1</v>
      </c>
      <c r="R24" s="15">
        <f t="shared" si="18"/>
        <v>0</v>
      </c>
      <c r="S24" s="29">
        <v>0</v>
      </c>
      <c r="T24" s="29">
        <v>0</v>
      </c>
      <c r="U24" s="29">
        <v>1</v>
      </c>
      <c r="V24" s="29">
        <v>0</v>
      </c>
      <c r="W24" s="29">
        <v>1</v>
      </c>
      <c r="X24" s="29">
        <v>1</v>
      </c>
      <c r="Y24" s="29">
        <v>1</v>
      </c>
      <c r="Z24" s="14">
        <v>1</v>
      </c>
      <c r="AA24" s="33">
        <v>0</v>
      </c>
      <c r="AB24" s="30">
        <v>0</v>
      </c>
      <c r="AC24" s="30">
        <v>1</v>
      </c>
      <c r="AD24" s="30">
        <v>0</v>
      </c>
      <c r="AE24" s="30">
        <v>1</v>
      </c>
      <c r="AF24" s="30">
        <v>1</v>
      </c>
      <c r="AG24" s="30">
        <v>1</v>
      </c>
      <c r="AH24" s="31">
        <v>1</v>
      </c>
      <c r="AI24" s="2">
        <f t="shared" si="19"/>
        <v>47</v>
      </c>
    </row>
    <row r="25" spans="2:35" x14ac:dyDescent="0.25">
      <c r="F25" s="18"/>
      <c r="G25" s="6">
        <v>7</v>
      </c>
      <c r="H25" s="2">
        <v>173</v>
      </c>
      <c r="I25" s="11">
        <v>173</v>
      </c>
      <c r="J25" s="2">
        <f t="shared" si="12"/>
        <v>30103</v>
      </c>
      <c r="K25" s="28">
        <f t="shared" si="13"/>
        <v>1</v>
      </c>
      <c r="L25" s="28">
        <f t="shared" si="14"/>
        <v>0</v>
      </c>
      <c r="M25" s="28">
        <f t="shared" si="15"/>
        <v>1</v>
      </c>
      <c r="N25" s="28">
        <f t="shared" si="16"/>
        <v>0</v>
      </c>
      <c r="O25" s="28">
        <f t="shared" si="10"/>
        <v>1</v>
      </c>
      <c r="P25" s="28">
        <f t="shared" si="11"/>
        <v>1</v>
      </c>
      <c r="Q25" s="28">
        <f t="shared" si="17"/>
        <v>0</v>
      </c>
      <c r="R25" s="13">
        <f t="shared" si="18"/>
        <v>1</v>
      </c>
      <c r="S25" s="28">
        <v>0</v>
      </c>
      <c r="T25" s="28">
        <v>0</v>
      </c>
      <c r="U25" s="28">
        <v>1</v>
      </c>
      <c r="V25" s="28">
        <v>0</v>
      </c>
      <c r="W25" s="28">
        <v>1</v>
      </c>
      <c r="X25" s="28">
        <v>1</v>
      </c>
      <c r="Y25" s="28">
        <v>0</v>
      </c>
      <c r="Z25" s="15">
        <v>0</v>
      </c>
      <c r="AA25" s="33">
        <v>0</v>
      </c>
      <c r="AB25" s="30">
        <v>0</v>
      </c>
      <c r="AC25" s="30">
        <v>1</v>
      </c>
      <c r="AD25" s="30">
        <v>0</v>
      </c>
      <c r="AE25" s="30">
        <v>1</v>
      </c>
      <c r="AF25" s="30">
        <v>1</v>
      </c>
      <c r="AG25" s="30">
        <v>0</v>
      </c>
      <c r="AH25" s="31">
        <v>0</v>
      </c>
      <c r="AI25" s="2">
        <f t="shared" si="19"/>
        <v>44</v>
      </c>
    </row>
    <row r="26" spans="2:35" x14ac:dyDescent="0.25">
      <c r="F26" s="18"/>
      <c r="G26" s="6">
        <v>8</v>
      </c>
      <c r="H26" s="2">
        <v>170</v>
      </c>
      <c r="I26" s="11">
        <v>170</v>
      </c>
      <c r="J26" s="2">
        <f t="shared" si="12"/>
        <v>29071</v>
      </c>
      <c r="K26" s="28">
        <f t="shared" si="13"/>
        <v>1</v>
      </c>
      <c r="L26" s="28">
        <f t="shared" si="14"/>
        <v>0</v>
      </c>
      <c r="M26" s="28">
        <f t="shared" si="15"/>
        <v>1</v>
      </c>
      <c r="N26" s="28">
        <f t="shared" si="16"/>
        <v>0</v>
      </c>
      <c r="O26" s="28">
        <f t="shared" si="10"/>
        <v>1</v>
      </c>
      <c r="P26" s="28">
        <f t="shared" si="11"/>
        <v>0</v>
      </c>
      <c r="Q26" s="28">
        <f t="shared" si="17"/>
        <v>1</v>
      </c>
      <c r="R26" s="15">
        <f t="shared" si="18"/>
        <v>0</v>
      </c>
      <c r="S26" s="29">
        <v>0</v>
      </c>
      <c r="T26" s="29">
        <v>0</v>
      </c>
      <c r="U26" s="29">
        <v>1</v>
      </c>
      <c r="V26" s="29">
        <v>0</v>
      </c>
      <c r="W26" s="29">
        <v>1</v>
      </c>
      <c r="X26" s="29">
        <v>0</v>
      </c>
      <c r="Y26" s="29">
        <v>1</v>
      </c>
      <c r="Z26" s="14">
        <v>1</v>
      </c>
      <c r="AA26" s="33">
        <v>0</v>
      </c>
      <c r="AB26" s="30">
        <v>0</v>
      </c>
      <c r="AC26" s="30">
        <v>1</v>
      </c>
      <c r="AD26" s="30">
        <v>0</v>
      </c>
      <c r="AE26" s="30">
        <v>1</v>
      </c>
      <c r="AF26" s="30">
        <v>0</v>
      </c>
      <c r="AG26" s="30">
        <v>1</v>
      </c>
      <c r="AH26" s="31">
        <v>1</v>
      </c>
      <c r="AI26" s="2">
        <f t="shared" si="19"/>
        <v>43</v>
      </c>
    </row>
    <row r="27" spans="2:35" x14ac:dyDescent="0.25">
      <c r="F27" s="18"/>
      <c r="G27" s="6">
        <v>9</v>
      </c>
      <c r="H27" s="2">
        <v>168</v>
      </c>
      <c r="I27" s="11">
        <v>168</v>
      </c>
      <c r="J27" s="2">
        <f t="shared" si="12"/>
        <v>28393</v>
      </c>
      <c r="K27" s="28">
        <f t="shared" si="13"/>
        <v>1</v>
      </c>
      <c r="L27" s="28">
        <f t="shared" si="14"/>
        <v>0</v>
      </c>
      <c r="M27" s="28">
        <f t="shared" si="15"/>
        <v>1</v>
      </c>
      <c r="N27" s="28">
        <f t="shared" si="16"/>
        <v>0</v>
      </c>
      <c r="O27" s="28">
        <f t="shared" si="10"/>
        <v>1</v>
      </c>
      <c r="P27" s="28">
        <f t="shared" si="11"/>
        <v>0</v>
      </c>
      <c r="Q27" s="28">
        <f t="shared" si="17"/>
        <v>0</v>
      </c>
      <c r="R27" s="13">
        <f t="shared" si="18"/>
        <v>0</v>
      </c>
      <c r="S27" s="28">
        <v>0</v>
      </c>
      <c r="T27" s="28">
        <v>0</v>
      </c>
      <c r="U27" s="28">
        <v>1</v>
      </c>
      <c r="V27" s="28">
        <v>0</v>
      </c>
      <c r="W27" s="28">
        <v>1</v>
      </c>
      <c r="X27" s="28">
        <v>0</v>
      </c>
      <c r="Y27" s="28">
        <v>0</v>
      </c>
      <c r="Z27" s="15">
        <v>1</v>
      </c>
      <c r="AA27" s="33">
        <v>0</v>
      </c>
      <c r="AB27" s="30">
        <v>0</v>
      </c>
      <c r="AC27" s="30">
        <v>1</v>
      </c>
      <c r="AD27" s="30">
        <v>0</v>
      </c>
      <c r="AE27" s="30">
        <v>1</v>
      </c>
      <c r="AF27" s="30">
        <v>0</v>
      </c>
      <c r="AG27" s="30">
        <v>0</v>
      </c>
      <c r="AH27" s="31">
        <v>1</v>
      </c>
      <c r="AI27" s="2">
        <f t="shared" si="19"/>
        <v>41</v>
      </c>
    </row>
    <row r="28" spans="2:35" x14ac:dyDescent="0.25">
      <c r="F28" s="18"/>
      <c r="G28" s="6">
        <v>10</v>
      </c>
      <c r="H28" s="2">
        <v>165</v>
      </c>
      <c r="I28" s="11">
        <v>165</v>
      </c>
      <c r="J28" s="2">
        <f t="shared" si="12"/>
        <v>27391</v>
      </c>
      <c r="K28" s="28">
        <f t="shared" si="13"/>
        <v>1</v>
      </c>
      <c r="L28" s="28">
        <f t="shared" si="14"/>
        <v>0</v>
      </c>
      <c r="M28" s="28">
        <f t="shared" si="15"/>
        <v>1</v>
      </c>
      <c r="N28" s="28">
        <f t="shared" si="16"/>
        <v>0</v>
      </c>
      <c r="O28" s="28">
        <f t="shared" si="10"/>
        <v>0</v>
      </c>
      <c r="P28" s="28">
        <f t="shared" si="11"/>
        <v>1</v>
      </c>
      <c r="Q28" s="28">
        <f t="shared" si="17"/>
        <v>0</v>
      </c>
      <c r="R28" s="15">
        <f t="shared" si="18"/>
        <v>1</v>
      </c>
      <c r="S28" s="29">
        <v>0</v>
      </c>
      <c r="T28" s="29">
        <v>0</v>
      </c>
      <c r="U28" s="29">
        <v>1</v>
      </c>
      <c r="V28" s="29">
        <v>0</v>
      </c>
      <c r="W28" s="29">
        <v>0</v>
      </c>
      <c r="X28" s="29">
        <v>1</v>
      </c>
      <c r="Y28" s="29">
        <v>0</v>
      </c>
      <c r="Z28" s="14">
        <v>0</v>
      </c>
      <c r="AA28" s="33">
        <v>0</v>
      </c>
      <c r="AB28" s="30">
        <v>0</v>
      </c>
      <c r="AC28" s="30">
        <v>1</v>
      </c>
      <c r="AD28" s="30">
        <v>0</v>
      </c>
      <c r="AE28" s="30">
        <v>0</v>
      </c>
      <c r="AF28" s="30">
        <v>1</v>
      </c>
      <c r="AG28" s="30">
        <v>0</v>
      </c>
      <c r="AH28" s="31">
        <v>0</v>
      </c>
      <c r="AI28" s="2">
        <f t="shared" si="19"/>
        <v>36</v>
      </c>
    </row>
    <row r="29" spans="2:35" x14ac:dyDescent="0.25">
      <c r="F29" s="18"/>
      <c r="G29" s="6">
        <v>11</v>
      </c>
      <c r="H29" s="2">
        <v>160</v>
      </c>
      <c r="I29" s="11">
        <v>160</v>
      </c>
      <c r="J29" s="2">
        <f t="shared" si="12"/>
        <v>25761</v>
      </c>
      <c r="K29" s="28">
        <f t="shared" si="13"/>
        <v>1</v>
      </c>
      <c r="L29" s="28">
        <f t="shared" si="14"/>
        <v>0</v>
      </c>
      <c r="M29" s="28">
        <f t="shared" si="15"/>
        <v>1</v>
      </c>
      <c r="N29" s="28">
        <f t="shared" si="16"/>
        <v>0</v>
      </c>
      <c r="O29" s="28">
        <f t="shared" si="10"/>
        <v>0</v>
      </c>
      <c r="P29" s="28">
        <f t="shared" si="11"/>
        <v>0</v>
      </c>
      <c r="Q29" s="28">
        <f t="shared" si="17"/>
        <v>0</v>
      </c>
      <c r="R29" s="13">
        <f t="shared" si="18"/>
        <v>0</v>
      </c>
      <c r="S29" s="28">
        <v>0</v>
      </c>
      <c r="T29" s="28">
        <v>0</v>
      </c>
      <c r="U29" s="28">
        <v>1</v>
      </c>
      <c r="V29" s="28">
        <v>0</v>
      </c>
      <c r="W29" s="28">
        <v>0</v>
      </c>
      <c r="X29" s="28">
        <v>0</v>
      </c>
      <c r="Y29" s="28">
        <v>0</v>
      </c>
      <c r="Z29" s="15">
        <v>0</v>
      </c>
      <c r="AA29" s="33">
        <v>0</v>
      </c>
      <c r="AB29" s="30">
        <v>0</v>
      </c>
      <c r="AC29" s="30">
        <v>1</v>
      </c>
      <c r="AD29" s="30">
        <v>0</v>
      </c>
      <c r="AE29" s="30">
        <v>0</v>
      </c>
      <c r="AF29" s="30">
        <v>0</v>
      </c>
      <c r="AG29" s="30">
        <v>0</v>
      </c>
      <c r="AH29" s="31">
        <v>0</v>
      </c>
      <c r="AI29" s="2">
        <f t="shared" si="19"/>
        <v>32</v>
      </c>
    </row>
    <row r="30" spans="2:35" x14ac:dyDescent="0.25">
      <c r="F30" s="18"/>
      <c r="G30" s="6">
        <v>12</v>
      </c>
      <c r="H30" s="2">
        <v>150</v>
      </c>
      <c r="I30" s="11">
        <v>150</v>
      </c>
      <c r="J30" s="2">
        <f t="shared" si="12"/>
        <v>22651</v>
      </c>
      <c r="K30" s="28">
        <f t="shared" si="13"/>
        <v>1</v>
      </c>
      <c r="L30" s="28">
        <f t="shared" si="14"/>
        <v>0</v>
      </c>
      <c r="M30" s="28">
        <f t="shared" si="15"/>
        <v>0</v>
      </c>
      <c r="N30" s="28">
        <f t="shared" si="16"/>
        <v>1</v>
      </c>
      <c r="O30" s="28">
        <f t="shared" si="10"/>
        <v>0</v>
      </c>
      <c r="P30" s="28">
        <f t="shared" si="11"/>
        <v>1</v>
      </c>
      <c r="Q30" s="28">
        <f t="shared" si="17"/>
        <v>1</v>
      </c>
      <c r="R30" s="15">
        <f t="shared" si="18"/>
        <v>0</v>
      </c>
      <c r="S30" s="29">
        <v>0</v>
      </c>
      <c r="T30" s="29">
        <v>0</v>
      </c>
      <c r="U30" s="29">
        <v>0</v>
      </c>
      <c r="V30" s="29">
        <v>1</v>
      </c>
      <c r="W30" s="29">
        <v>0</v>
      </c>
      <c r="X30" s="29">
        <v>1</v>
      </c>
      <c r="Y30" s="29">
        <v>1</v>
      </c>
      <c r="Z30" s="14">
        <v>0</v>
      </c>
      <c r="AA30" s="33">
        <v>0</v>
      </c>
      <c r="AB30" s="30">
        <v>0</v>
      </c>
      <c r="AC30" s="30">
        <v>0</v>
      </c>
      <c r="AD30" s="30">
        <v>1</v>
      </c>
      <c r="AE30" s="30">
        <v>0</v>
      </c>
      <c r="AF30" s="30">
        <v>1</v>
      </c>
      <c r="AG30" s="30">
        <v>1</v>
      </c>
      <c r="AH30" s="31">
        <v>0</v>
      </c>
      <c r="AI30" s="2">
        <f t="shared" si="19"/>
        <v>22</v>
      </c>
    </row>
    <row r="32" spans="2:35" x14ac:dyDescent="0.25">
      <c r="J32" s="16" t="s">
        <v>6</v>
      </c>
      <c r="K32" s="5"/>
      <c r="L32" s="5"/>
      <c r="M32" s="5"/>
      <c r="N32" s="5"/>
      <c r="O32" s="5"/>
      <c r="P32" s="5"/>
      <c r="Q32" s="5"/>
      <c r="R32" s="5"/>
    </row>
    <row r="33" spans="6:35" x14ac:dyDescent="0.25">
      <c r="F33" s="18" t="s">
        <v>10</v>
      </c>
      <c r="G33" s="10" t="s">
        <v>1</v>
      </c>
      <c r="H33" s="7" t="s">
        <v>0</v>
      </c>
      <c r="I33" s="8" t="s">
        <v>3</v>
      </c>
      <c r="J33" s="17"/>
      <c r="K33" s="19" t="s">
        <v>5</v>
      </c>
      <c r="L33" s="19"/>
      <c r="M33" s="19"/>
      <c r="N33" s="19"/>
      <c r="O33" s="19"/>
      <c r="P33" s="19"/>
      <c r="Q33" s="19"/>
      <c r="R33" s="19"/>
      <c r="S33" s="20" t="str">
        <f>CONCATENATE("CRUCE DESDE EL BIT ",B41)</f>
        <v xml:space="preserve">CRUCE DESDE EL BIT </v>
      </c>
      <c r="T33" s="20"/>
      <c r="U33" s="20"/>
      <c r="V33" s="20"/>
      <c r="W33" s="20"/>
      <c r="X33" s="20"/>
      <c r="Y33" s="20"/>
      <c r="Z33" s="20"/>
      <c r="AA33" s="21" t="str">
        <f>CONCATENATE("MUTACION EN EL BIT ",B46)</f>
        <v xml:space="preserve">MUTACION EN EL BIT </v>
      </c>
      <c r="AB33" s="21"/>
      <c r="AC33" s="21"/>
      <c r="AD33" s="21"/>
      <c r="AE33" s="21"/>
      <c r="AF33" s="21"/>
      <c r="AG33" s="21"/>
      <c r="AH33" s="21"/>
      <c r="AI33" s="12" t="s">
        <v>7</v>
      </c>
    </row>
    <row r="34" spans="6:35" x14ac:dyDescent="0.25">
      <c r="F34" s="18"/>
      <c r="G34" s="6">
        <v>1</v>
      </c>
      <c r="H34" s="2">
        <v>95</v>
      </c>
      <c r="I34" s="11">
        <v>95</v>
      </c>
      <c r="J34" s="2">
        <f>(I34*I34)+I34+1</f>
        <v>9121</v>
      </c>
      <c r="K34" s="28">
        <f>MOD(QUOTIENT(QUOTIENT(QUOTIENT(QUOTIENT(QUOTIENT(QUOTIENT(QUOTIENT(I34,2),2),2),2),2),2),2),2)</f>
        <v>0</v>
      </c>
      <c r="L34" s="28">
        <f>MOD(QUOTIENT(QUOTIENT(QUOTIENT(QUOTIENT(QUOTIENT(QUOTIENT(I34,2),2),2),2),2),2),2)</f>
        <v>1</v>
      </c>
      <c r="M34" s="28">
        <f>MOD(QUOTIENT(QUOTIENT(QUOTIENT(QUOTIENT(QUOTIENT(I34,2),2),2),2),2),2)</f>
        <v>0</v>
      </c>
      <c r="N34" s="28">
        <f>MOD(QUOTIENT(QUOTIENT(QUOTIENT(QUOTIENT(I34,2),2),2),2),2)</f>
        <v>1</v>
      </c>
      <c r="O34" s="28">
        <f t="shared" ref="O34:O45" si="20">MOD(QUOTIENT(QUOTIENT(QUOTIENT(I34,2),2),2),2)</f>
        <v>1</v>
      </c>
      <c r="P34" s="28">
        <f t="shared" ref="P34:P45" si="21">MOD(QUOTIENT(QUOTIENT(I34,2),2),2)</f>
        <v>1</v>
      </c>
      <c r="Q34" s="28">
        <f>MOD(QUOTIENT(I34,2),2)</f>
        <v>1</v>
      </c>
      <c r="R34" s="13">
        <f>MOD(I34,2)</f>
        <v>1</v>
      </c>
      <c r="S34" s="28">
        <v>1</v>
      </c>
      <c r="T34" s="28">
        <v>0</v>
      </c>
      <c r="U34" s="28">
        <v>0</v>
      </c>
      <c r="V34" s="28">
        <v>0</v>
      </c>
      <c r="W34" s="28">
        <v>0</v>
      </c>
      <c r="X34" s="28">
        <v>1</v>
      </c>
      <c r="Y34" s="28">
        <v>0</v>
      </c>
      <c r="Z34" s="15">
        <v>1</v>
      </c>
      <c r="AA34" s="33">
        <v>0</v>
      </c>
      <c r="AB34" s="30">
        <v>0</v>
      </c>
      <c r="AC34" s="30">
        <v>0</v>
      </c>
      <c r="AD34" s="30">
        <v>0</v>
      </c>
      <c r="AE34" s="30">
        <v>0</v>
      </c>
      <c r="AF34" s="30">
        <v>1</v>
      </c>
      <c r="AG34" s="30">
        <v>0</v>
      </c>
      <c r="AH34" s="31">
        <v>1</v>
      </c>
      <c r="AI34" s="2">
        <f>SUM((AA34*2^7)+(AB34*2^6)+(AC34*2^5)+(AD34*2^4)+(AE34*2^3)+(AF34*2^2)+(AG34*2^1)+(AH34*2^0))</f>
        <v>5</v>
      </c>
    </row>
    <row r="35" spans="6:35" x14ac:dyDescent="0.25">
      <c r="F35" s="18"/>
      <c r="G35" s="6">
        <v>2</v>
      </c>
      <c r="H35" s="2">
        <v>89</v>
      </c>
      <c r="I35" s="11">
        <v>89</v>
      </c>
      <c r="J35" s="2">
        <f t="shared" ref="J35:J45" si="22">(I35*I35)+I35+1</f>
        <v>8011</v>
      </c>
      <c r="K35" s="28">
        <f t="shared" ref="K35:K45" si="23">MOD(QUOTIENT(QUOTIENT(QUOTIENT(QUOTIENT(QUOTIENT(QUOTIENT(QUOTIENT(I35,2),2),2),2),2),2),2),2)</f>
        <v>0</v>
      </c>
      <c r="L35" s="28">
        <f t="shared" ref="L35:L45" si="24">MOD(QUOTIENT(QUOTIENT(QUOTIENT(QUOTIENT(QUOTIENT(QUOTIENT(I35,2),2),2),2),2),2),2)</f>
        <v>1</v>
      </c>
      <c r="M35" s="28">
        <f t="shared" ref="M35:M45" si="25">MOD(QUOTIENT(QUOTIENT(QUOTIENT(QUOTIENT(QUOTIENT(I35,2),2),2),2),2),2)</f>
        <v>0</v>
      </c>
      <c r="N35" s="28">
        <f t="shared" ref="N35:N45" si="26">MOD(QUOTIENT(QUOTIENT(QUOTIENT(QUOTIENT(I35,2),2),2),2),2)</f>
        <v>1</v>
      </c>
      <c r="O35" s="28">
        <f t="shared" si="20"/>
        <v>1</v>
      </c>
      <c r="P35" s="28">
        <f t="shared" si="21"/>
        <v>0</v>
      </c>
      <c r="Q35" s="28">
        <f t="shared" ref="Q35:Q45" si="27">MOD(QUOTIENT(I35,2),2)</f>
        <v>0</v>
      </c>
      <c r="R35" s="15">
        <f t="shared" ref="R35:R45" si="28">MOD(I35,2)</f>
        <v>1</v>
      </c>
      <c r="S35" s="29">
        <v>1</v>
      </c>
      <c r="T35" s="29">
        <v>0</v>
      </c>
      <c r="U35" s="29">
        <v>0</v>
      </c>
      <c r="V35" s="29">
        <v>0</v>
      </c>
      <c r="W35" s="29">
        <v>0</v>
      </c>
      <c r="X35" s="29">
        <v>1</v>
      </c>
      <c r="Y35" s="29">
        <v>0</v>
      </c>
      <c r="Z35" s="14">
        <v>1</v>
      </c>
      <c r="AA35" s="33">
        <v>0</v>
      </c>
      <c r="AB35" s="30">
        <v>0</v>
      </c>
      <c r="AC35" s="30">
        <v>0</v>
      </c>
      <c r="AD35" s="30">
        <v>0</v>
      </c>
      <c r="AE35" s="30">
        <v>0</v>
      </c>
      <c r="AF35" s="30">
        <v>1</v>
      </c>
      <c r="AG35" s="30">
        <v>0</v>
      </c>
      <c r="AH35" s="31">
        <v>1</v>
      </c>
      <c r="AI35" s="2">
        <f t="shared" ref="AI35:AI45" si="29">SUM((AA35*2^7)+(AB35*2^6)+(AC35*2^5)+(AD35*2^4)+(AE35*2^3)+(AF35*2^2)+(AG35*2^1)+(AH35*2^0))</f>
        <v>5</v>
      </c>
    </row>
    <row r="36" spans="6:35" x14ac:dyDescent="0.25">
      <c r="F36" s="18"/>
      <c r="G36" s="6">
        <v>3</v>
      </c>
      <c r="H36" s="2">
        <v>88</v>
      </c>
      <c r="I36" s="11">
        <v>88</v>
      </c>
      <c r="J36" s="2">
        <f t="shared" si="22"/>
        <v>7833</v>
      </c>
      <c r="K36" s="28">
        <f t="shared" si="23"/>
        <v>0</v>
      </c>
      <c r="L36" s="28">
        <f t="shared" si="24"/>
        <v>1</v>
      </c>
      <c r="M36" s="28">
        <f t="shared" si="25"/>
        <v>0</v>
      </c>
      <c r="N36" s="28">
        <f t="shared" si="26"/>
        <v>1</v>
      </c>
      <c r="O36" s="28">
        <f t="shared" si="20"/>
        <v>1</v>
      </c>
      <c r="P36" s="28">
        <f t="shared" si="21"/>
        <v>0</v>
      </c>
      <c r="Q36" s="28">
        <f t="shared" si="27"/>
        <v>0</v>
      </c>
      <c r="R36" s="13">
        <f t="shared" si="28"/>
        <v>0</v>
      </c>
      <c r="S36" s="28">
        <v>1</v>
      </c>
      <c r="T36" s="28">
        <v>0</v>
      </c>
      <c r="U36" s="28">
        <v>0</v>
      </c>
      <c r="V36" s="28">
        <v>0</v>
      </c>
      <c r="W36" s="28">
        <v>0</v>
      </c>
      <c r="X36" s="28">
        <v>1</v>
      </c>
      <c r="Y36" s="28">
        <v>0</v>
      </c>
      <c r="Z36" s="15">
        <v>0</v>
      </c>
      <c r="AA36" s="33">
        <v>0</v>
      </c>
      <c r="AB36" s="30">
        <v>0</v>
      </c>
      <c r="AC36" s="30">
        <v>0</v>
      </c>
      <c r="AD36" s="30">
        <v>0</v>
      </c>
      <c r="AE36" s="30">
        <v>0</v>
      </c>
      <c r="AF36" s="30">
        <v>1</v>
      </c>
      <c r="AG36" s="30">
        <v>0</v>
      </c>
      <c r="AH36" s="31">
        <v>0</v>
      </c>
      <c r="AI36" s="2">
        <f t="shared" si="29"/>
        <v>4</v>
      </c>
    </row>
    <row r="37" spans="6:35" x14ac:dyDescent="0.25">
      <c r="F37" s="18"/>
      <c r="G37" s="6">
        <v>4</v>
      </c>
      <c r="H37" s="2">
        <v>64</v>
      </c>
      <c r="I37" s="11">
        <v>64</v>
      </c>
      <c r="J37" s="2">
        <f t="shared" si="22"/>
        <v>4161</v>
      </c>
      <c r="K37" s="28">
        <f t="shared" si="23"/>
        <v>0</v>
      </c>
      <c r="L37" s="28">
        <f t="shared" si="24"/>
        <v>1</v>
      </c>
      <c r="M37" s="28">
        <f t="shared" si="25"/>
        <v>0</v>
      </c>
      <c r="N37" s="28">
        <f t="shared" si="26"/>
        <v>0</v>
      </c>
      <c r="O37" s="28">
        <f t="shared" si="20"/>
        <v>0</v>
      </c>
      <c r="P37" s="28">
        <f t="shared" si="21"/>
        <v>0</v>
      </c>
      <c r="Q37" s="28">
        <f t="shared" si="27"/>
        <v>0</v>
      </c>
      <c r="R37" s="15">
        <f t="shared" si="28"/>
        <v>0</v>
      </c>
      <c r="S37" s="29">
        <v>1</v>
      </c>
      <c r="T37" s="29">
        <v>0</v>
      </c>
      <c r="U37" s="29">
        <v>0</v>
      </c>
      <c r="V37" s="29">
        <v>0</v>
      </c>
      <c r="W37" s="29">
        <v>0</v>
      </c>
      <c r="X37" s="29">
        <v>1</v>
      </c>
      <c r="Y37" s="29">
        <v>0</v>
      </c>
      <c r="Z37" s="14">
        <v>0</v>
      </c>
      <c r="AA37" s="33">
        <v>0</v>
      </c>
      <c r="AB37" s="30">
        <v>0</v>
      </c>
      <c r="AC37" s="30">
        <v>0</v>
      </c>
      <c r="AD37" s="30">
        <v>0</v>
      </c>
      <c r="AE37" s="30">
        <v>0</v>
      </c>
      <c r="AF37" s="30">
        <v>1</v>
      </c>
      <c r="AG37" s="30">
        <v>0</v>
      </c>
      <c r="AH37" s="31">
        <v>0</v>
      </c>
      <c r="AI37" s="2">
        <f t="shared" si="29"/>
        <v>4</v>
      </c>
    </row>
    <row r="38" spans="6:35" x14ac:dyDescent="0.25">
      <c r="F38" s="18"/>
      <c r="G38" s="6">
        <v>5</v>
      </c>
      <c r="H38" s="2">
        <v>58</v>
      </c>
      <c r="I38" s="11">
        <v>58</v>
      </c>
      <c r="J38" s="2">
        <f t="shared" si="22"/>
        <v>3423</v>
      </c>
      <c r="K38" s="28">
        <f t="shared" si="23"/>
        <v>0</v>
      </c>
      <c r="L38" s="28">
        <f t="shared" si="24"/>
        <v>0</v>
      </c>
      <c r="M38" s="28">
        <f t="shared" si="25"/>
        <v>1</v>
      </c>
      <c r="N38" s="28">
        <f t="shared" si="26"/>
        <v>1</v>
      </c>
      <c r="O38" s="28">
        <f t="shared" si="20"/>
        <v>1</v>
      </c>
      <c r="P38" s="28">
        <f t="shared" si="21"/>
        <v>0</v>
      </c>
      <c r="Q38" s="28">
        <f t="shared" si="27"/>
        <v>1</v>
      </c>
      <c r="R38" s="13">
        <f t="shared" si="28"/>
        <v>0</v>
      </c>
      <c r="S38" s="28">
        <v>1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1</v>
      </c>
      <c r="Z38" s="15">
        <v>1</v>
      </c>
      <c r="AA38" s="33">
        <v>0</v>
      </c>
      <c r="AB38" s="30">
        <v>0</v>
      </c>
      <c r="AC38" s="30">
        <v>0</v>
      </c>
      <c r="AD38" s="30">
        <v>0</v>
      </c>
      <c r="AE38" s="30">
        <v>0</v>
      </c>
      <c r="AF38" s="30">
        <v>0</v>
      </c>
      <c r="AG38" s="30">
        <v>1</v>
      </c>
      <c r="AH38" s="31">
        <v>1</v>
      </c>
      <c r="AI38" s="2">
        <f t="shared" si="29"/>
        <v>3</v>
      </c>
    </row>
    <row r="39" spans="6:35" x14ac:dyDescent="0.25">
      <c r="F39" s="18"/>
      <c r="G39" s="6">
        <v>6</v>
      </c>
      <c r="H39" s="2">
        <v>47</v>
      </c>
      <c r="I39" s="11">
        <v>47</v>
      </c>
      <c r="J39" s="2">
        <f t="shared" si="22"/>
        <v>2257</v>
      </c>
      <c r="K39" s="28">
        <f t="shared" si="23"/>
        <v>0</v>
      </c>
      <c r="L39" s="28">
        <f t="shared" si="24"/>
        <v>0</v>
      </c>
      <c r="M39" s="28">
        <f t="shared" si="25"/>
        <v>1</v>
      </c>
      <c r="N39" s="28">
        <f t="shared" si="26"/>
        <v>0</v>
      </c>
      <c r="O39" s="28">
        <f t="shared" si="20"/>
        <v>1</v>
      </c>
      <c r="P39" s="28">
        <f t="shared" si="21"/>
        <v>1</v>
      </c>
      <c r="Q39" s="28">
        <f t="shared" si="27"/>
        <v>1</v>
      </c>
      <c r="R39" s="15">
        <f t="shared" si="28"/>
        <v>1</v>
      </c>
      <c r="S39" s="29">
        <v>1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1</v>
      </c>
      <c r="Z39" s="14">
        <v>0</v>
      </c>
      <c r="AA39" s="33">
        <v>0</v>
      </c>
      <c r="AB39" s="30">
        <v>0</v>
      </c>
      <c r="AC39" s="30">
        <v>0</v>
      </c>
      <c r="AD39" s="30">
        <v>0</v>
      </c>
      <c r="AE39" s="30">
        <v>0</v>
      </c>
      <c r="AF39" s="30">
        <v>0</v>
      </c>
      <c r="AG39" s="30">
        <v>1</v>
      </c>
      <c r="AH39" s="31">
        <v>0</v>
      </c>
      <c r="AI39" s="2">
        <f t="shared" si="29"/>
        <v>2</v>
      </c>
    </row>
    <row r="40" spans="6:35" x14ac:dyDescent="0.25">
      <c r="F40" s="18"/>
      <c r="G40" s="6">
        <v>7</v>
      </c>
      <c r="H40" s="2">
        <v>44</v>
      </c>
      <c r="I40" s="11">
        <v>44</v>
      </c>
      <c r="J40" s="2">
        <f t="shared" si="22"/>
        <v>1981</v>
      </c>
      <c r="K40" s="28">
        <f t="shared" si="23"/>
        <v>0</v>
      </c>
      <c r="L40" s="28">
        <f t="shared" si="24"/>
        <v>0</v>
      </c>
      <c r="M40" s="28">
        <f t="shared" si="25"/>
        <v>1</v>
      </c>
      <c r="N40" s="28">
        <f t="shared" si="26"/>
        <v>0</v>
      </c>
      <c r="O40" s="28">
        <f t="shared" si="20"/>
        <v>1</v>
      </c>
      <c r="P40" s="28">
        <f t="shared" si="21"/>
        <v>1</v>
      </c>
      <c r="Q40" s="28">
        <f t="shared" si="27"/>
        <v>0</v>
      </c>
      <c r="R40" s="13">
        <f t="shared" si="28"/>
        <v>0</v>
      </c>
      <c r="S40" s="28">
        <v>1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1</v>
      </c>
      <c r="Z40" s="15">
        <v>1</v>
      </c>
      <c r="AA40" s="33">
        <v>0</v>
      </c>
      <c r="AB40" s="30">
        <v>0</v>
      </c>
      <c r="AC40" s="30">
        <v>0</v>
      </c>
      <c r="AD40" s="30">
        <v>0</v>
      </c>
      <c r="AE40" s="30">
        <v>0</v>
      </c>
      <c r="AF40" s="30">
        <v>0</v>
      </c>
      <c r="AG40" s="30">
        <v>1</v>
      </c>
      <c r="AH40" s="31">
        <v>1</v>
      </c>
      <c r="AI40" s="2">
        <f t="shared" si="29"/>
        <v>3</v>
      </c>
    </row>
    <row r="41" spans="6:35" x14ac:dyDescent="0.25">
      <c r="F41" s="18"/>
      <c r="G41" s="6">
        <v>8</v>
      </c>
      <c r="H41" s="2">
        <v>43</v>
      </c>
      <c r="I41" s="11">
        <v>43</v>
      </c>
      <c r="J41" s="2">
        <f t="shared" si="22"/>
        <v>1893</v>
      </c>
      <c r="K41" s="28">
        <f t="shared" si="23"/>
        <v>0</v>
      </c>
      <c r="L41" s="28">
        <f t="shared" si="24"/>
        <v>0</v>
      </c>
      <c r="M41" s="28">
        <f t="shared" si="25"/>
        <v>1</v>
      </c>
      <c r="N41" s="28">
        <f t="shared" si="26"/>
        <v>0</v>
      </c>
      <c r="O41" s="28">
        <f t="shared" si="20"/>
        <v>1</v>
      </c>
      <c r="P41" s="28">
        <f t="shared" si="21"/>
        <v>0</v>
      </c>
      <c r="Q41" s="28">
        <f t="shared" si="27"/>
        <v>1</v>
      </c>
      <c r="R41" s="15">
        <f t="shared" si="28"/>
        <v>1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1</v>
      </c>
      <c r="Z41" s="14">
        <v>0</v>
      </c>
      <c r="AA41" s="32">
        <v>1</v>
      </c>
      <c r="AB41" s="30">
        <v>0</v>
      </c>
      <c r="AC41" s="30">
        <v>0</v>
      </c>
      <c r="AD41" s="30">
        <v>0</v>
      </c>
      <c r="AE41" s="30">
        <v>0</v>
      </c>
      <c r="AF41" s="30">
        <v>0</v>
      </c>
      <c r="AG41" s="30">
        <v>1</v>
      </c>
      <c r="AH41" s="31">
        <v>0</v>
      </c>
      <c r="AI41" s="2">
        <f t="shared" si="29"/>
        <v>130</v>
      </c>
    </row>
    <row r="42" spans="6:35" x14ac:dyDescent="0.25">
      <c r="F42" s="18"/>
      <c r="G42" s="6">
        <v>9</v>
      </c>
      <c r="H42" s="2">
        <v>41</v>
      </c>
      <c r="I42" s="11">
        <v>41</v>
      </c>
      <c r="J42" s="2">
        <f t="shared" si="22"/>
        <v>1723</v>
      </c>
      <c r="K42" s="28">
        <f t="shared" si="23"/>
        <v>0</v>
      </c>
      <c r="L42" s="28">
        <f t="shared" si="24"/>
        <v>0</v>
      </c>
      <c r="M42" s="28">
        <f t="shared" si="25"/>
        <v>1</v>
      </c>
      <c r="N42" s="28">
        <f t="shared" si="26"/>
        <v>0</v>
      </c>
      <c r="O42" s="28">
        <f t="shared" si="20"/>
        <v>1</v>
      </c>
      <c r="P42" s="28">
        <f t="shared" si="21"/>
        <v>0</v>
      </c>
      <c r="Q42" s="28">
        <f t="shared" si="27"/>
        <v>0</v>
      </c>
      <c r="R42" s="13">
        <f t="shared" si="28"/>
        <v>1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1</v>
      </c>
      <c r="Z42" s="15">
        <v>0</v>
      </c>
      <c r="AA42" s="32">
        <v>1</v>
      </c>
      <c r="AB42" s="30">
        <v>0</v>
      </c>
      <c r="AC42" s="30">
        <v>0</v>
      </c>
      <c r="AD42" s="30">
        <v>0</v>
      </c>
      <c r="AE42" s="30">
        <v>0</v>
      </c>
      <c r="AF42" s="30">
        <v>0</v>
      </c>
      <c r="AG42" s="30">
        <v>1</v>
      </c>
      <c r="AH42" s="31">
        <v>0</v>
      </c>
      <c r="AI42" s="2">
        <f t="shared" si="29"/>
        <v>130</v>
      </c>
    </row>
    <row r="43" spans="6:35" x14ac:dyDescent="0.25">
      <c r="F43" s="18"/>
      <c r="G43" s="6">
        <v>10</v>
      </c>
      <c r="H43" s="2">
        <v>36</v>
      </c>
      <c r="I43" s="11">
        <v>36</v>
      </c>
      <c r="J43" s="2">
        <f t="shared" si="22"/>
        <v>1333</v>
      </c>
      <c r="K43" s="28">
        <f t="shared" si="23"/>
        <v>0</v>
      </c>
      <c r="L43" s="28">
        <f t="shared" si="24"/>
        <v>0</v>
      </c>
      <c r="M43" s="28">
        <f t="shared" si="25"/>
        <v>1</v>
      </c>
      <c r="N43" s="28">
        <f t="shared" si="26"/>
        <v>0</v>
      </c>
      <c r="O43" s="28">
        <f t="shared" si="20"/>
        <v>0</v>
      </c>
      <c r="P43" s="28">
        <f t="shared" si="21"/>
        <v>1</v>
      </c>
      <c r="Q43" s="28">
        <f t="shared" si="27"/>
        <v>0</v>
      </c>
      <c r="R43" s="15">
        <f t="shared" si="28"/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1</v>
      </c>
      <c r="Z43" s="14">
        <v>1</v>
      </c>
      <c r="AA43" s="32">
        <v>1</v>
      </c>
      <c r="AB43" s="30">
        <v>0</v>
      </c>
      <c r="AC43" s="30">
        <v>0</v>
      </c>
      <c r="AD43" s="30">
        <v>0</v>
      </c>
      <c r="AE43" s="30">
        <v>0</v>
      </c>
      <c r="AF43" s="30">
        <v>0</v>
      </c>
      <c r="AG43" s="30">
        <v>1</v>
      </c>
      <c r="AH43" s="31">
        <v>1</v>
      </c>
      <c r="AI43" s="2">
        <f t="shared" si="29"/>
        <v>131</v>
      </c>
    </row>
    <row r="44" spans="6:35" x14ac:dyDescent="0.25">
      <c r="F44" s="18"/>
      <c r="G44" s="6">
        <v>11</v>
      </c>
      <c r="H44" s="2">
        <v>32</v>
      </c>
      <c r="I44" s="11">
        <v>32</v>
      </c>
      <c r="J44" s="2">
        <f t="shared" si="22"/>
        <v>1057</v>
      </c>
      <c r="K44" s="28">
        <f t="shared" si="23"/>
        <v>0</v>
      </c>
      <c r="L44" s="28">
        <f t="shared" si="24"/>
        <v>0</v>
      </c>
      <c r="M44" s="28">
        <f t="shared" si="25"/>
        <v>1</v>
      </c>
      <c r="N44" s="28">
        <f t="shared" si="26"/>
        <v>0</v>
      </c>
      <c r="O44" s="28">
        <f t="shared" si="20"/>
        <v>0</v>
      </c>
      <c r="P44" s="28">
        <f t="shared" si="21"/>
        <v>0</v>
      </c>
      <c r="Q44" s="28">
        <f t="shared" si="27"/>
        <v>0</v>
      </c>
      <c r="R44" s="13">
        <f t="shared" si="28"/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1</v>
      </c>
      <c r="Z44" s="15">
        <v>0</v>
      </c>
      <c r="AA44" s="32">
        <v>1</v>
      </c>
      <c r="AB44" s="30">
        <v>0</v>
      </c>
      <c r="AC44" s="30">
        <v>0</v>
      </c>
      <c r="AD44" s="30">
        <v>0</v>
      </c>
      <c r="AE44" s="30">
        <v>0</v>
      </c>
      <c r="AF44" s="30">
        <v>0</v>
      </c>
      <c r="AG44" s="30">
        <v>1</v>
      </c>
      <c r="AH44" s="31">
        <v>0</v>
      </c>
      <c r="AI44" s="2">
        <f t="shared" si="29"/>
        <v>130</v>
      </c>
    </row>
    <row r="45" spans="6:35" x14ac:dyDescent="0.25">
      <c r="F45" s="18"/>
      <c r="G45" s="6">
        <v>12</v>
      </c>
      <c r="H45" s="2">
        <v>22</v>
      </c>
      <c r="I45" s="11">
        <v>22</v>
      </c>
      <c r="J45" s="2">
        <f t="shared" si="22"/>
        <v>507</v>
      </c>
      <c r="K45" s="28">
        <f t="shared" si="23"/>
        <v>0</v>
      </c>
      <c r="L45" s="28">
        <f t="shared" si="24"/>
        <v>0</v>
      </c>
      <c r="M45" s="28">
        <f t="shared" si="25"/>
        <v>0</v>
      </c>
      <c r="N45" s="28">
        <f t="shared" si="26"/>
        <v>1</v>
      </c>
      <c r="O45" s="28">
        <f t="shared" si="20"/>
        <v>0</v>
      </c>
      <c r="P45" s="28">
        <f t="shared" si="21"/>
        <v>1</v>
      </c>
      <c r="Q45" s="28">
        <f t="shared" si="27"/>
        <v>1</v>
      </c>
      <c r="R45" s="15">
        <f t="shared" si="28"/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1</v>
      </c>
      <c r="Z45" s="14">
        <v>0</v>
      </c>
      <c r="AA45" s="32">
        <v>1</v>
      </c>
      <c r="AB45" s="30">
        <v>0</v>
      </c>
      <c r="AC45" s="30">
        <v>0</v>
      </c>
      <c r="AD45" s="30">
        <v>0</v>
      </c>
      <c r="AE45" s="30">
        <v>0</v>
      </c>
      <c r="AF45" s="30">
        <v>0</v>
      </c>
      <c r="AG45" s="30">
        <v>1</v>
      </c>
      <c r="AH45" s="31">
        <v>0</v>
      </c>
      <c r="AI45" s="2">
        <f t="shared" si="29"/>
        <v>130</v>
      </c>
    </row>
  </sheetData>
  <sortState xmlns:xlrd2="http://schemas.microsoft.com/office/spreadsheetml/2017/richdata2" ref="I19:I30">
    <sortCondition descending="1" ref="I34:I45"/>
  </sortState>
  <mergeCells count="19">
    <mergeCell ref="S3:Z3"/>
    <mergeCell ref="AA3:AH3"/>
    <mergeCell ref="K3:R3"/>
    <mergeCell ref="B16:C17"/>
    <mergeCell ref="B11:C12"/>
    <mergeCell ref="F3:F15"/>
    <mergeCell ref="J2:J3"/>
    <mergeCell ref="B6:B7"/>
    <mergeCell ref="C6:C7"/>
    <mergeCell ref="J17:J18"/>
    <mergeCell ref="F18:F30"/>
    <mergeCell ref="K18:R18"/>
    <mergeCell ref="S18:Z18"/>
    <mergeCell ref="AA18:AH18"/>
    <mergeCell ref="J32:J33"/>
    <mergeCell ref="F33:F45"/>
    <mergeCell ref="K33:R33"/>
    <mergeCell ref="S33:Z33"/>
    <mergeCell ref="AA33:AH33"/>
  </mergeCells>
  <dataValidations count="4">
    <dataValidation type="whole" showInputMessage="1" showErrorMessage="1" sqref="B11:C12" xr:uid="{E72EFA1D-88F7-46F6-93E6-FD07B5E6861C}">
      <formula1>1</formula1>
      <formula2>7</formula2>
    </dataValidation>
    <dataValidation type="whole" allowBlank="1" showInputMessage="1" showErrorMessage="1" sqref="B16:C17" xr:uid="{DD623EF1-1E19-42FE-8D9C-FAB957959FB2}">
      <formula1>1</formula1>
      <formula2>8</formula2>
    </dataValidation>
    <dataValidation type="whole" allowBlank="1" showInputMessage="1" showErrorMessage="1" sqref="C6:C7" xr:uid="{FA177905-4C91-4D25-A3FF-F269B3DA2D8D}">
      <formula1>B6+1</formula1>
      <formula2>256</formula2>
    </dataValidation>
    <dataValidation type="whole" allowBlank="1" showInputMessage="1" showErrorMessage="1" sqref="B6:B7" xr:uid="{6345A949-DF93-4951-992C-B898E14683F7}">
      <formula1>1</formula1>
      <formula2>C6-1</formula2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93669A-C4C2-4621-8F69-CC006D71A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Desktop</cp:lastModifiedBy>
  <dcterms:created xsi:type="dcterms:W3CDTF">2024-05-07T01:13:28Z</dcterms:created>
  <dcterms:modified xsi:type="dcterms:W3CDTF">2024-05-15T21:06:01Z</dcterms:modified>
</cp:coreProperties>
</file>