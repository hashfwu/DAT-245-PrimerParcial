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ktop\Desktop\dat\"/>
    </mc:Choice>
  </mc:AlternateContent>
  <xr:revisionPtr revIDLastSave="0" documentId="13_ncr:1_{3AD3E3F5-299F-4494-B982-51AF9E2085C6}" xr6:coauthVersionLast="47" xr6:coauthVersionMax="47" xr10:uidLastSave="{00000000-0000-0000-0000-000000000000}"/>
  <bookViews>
    <workbookView xWindow="-120" yWindow="-120" windowWidth="19440" windowHeight="15000" activeTab="1" xr2:uid="{7821E30A-326F-4FE6-A3A2-020C01341119}"/>
  </bookViews>
  <sheets>
    <sheet name="Definiciones" sheetId="1" r:id="rId1"/>
    <sheet name="Algoritmo genético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2" l="1"/>
  <c r="AY6" i="2"/>
  <c r="AY7" i="2"/>
  <c r="AY8" i="2"/>
  <c r="AY9" i="2"/>
  <c r="AY10" i="2"/>
  <c r="AY11" i="2"/>
  <c r="AY12" i="2"/>
  <c r="AY13" i="2"/>
  <c r="AY14" i="2"/>
  <c r="AY15" i="2"/>
  <c r="AY16" i="2"/>
  <c r="AY5" i="2"/>
  <c r="S5" i="2"/>
  <c r="S10" i="2"/>
  <c r="S6" i="2"/>
  <c r="S7" i="2"/>
  <c r="S8" i="2"/>
  <c r="S9" i="2"/>
  <c r="S11" i="2"/>
  <c r="S12" i="2"/>
  <c r="S13" i="2"/>
  <c r="S14" i="2"/>
  <c r="S15" i="2"/>
  <c r="S16" i="2"/>
  <c r="D22" i="2"/>
  <c r="E22" i="2"/>
  <c r="F22" i="2"/>
  <c r="G22" i="2"/>
  <c r="H22" i="2"/>
  <c r="I22" i="2"/>
  <c r="J22" i="2"/>
  <c r="K22" i="2"/>
  <c r="L22" i="2"/>
  <c r="M22" i="2"/>
  <c r="N22" i="2"/>
  <c r="O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25" i="2"/>
  <c r="Q25" i="2"/>
  <c r="P26" i="2"/>
  <c r="Q26" i="2"/>
  <c r="P27" i="2"/>
  <c r="Q27" i="2"/>
  <c r="P28" i="2"/>
  <c r="Q28" i="2"/>
  <c r="P29" i="2"/>
  <c r="Q29" i="2"/>
  <c r="P30" i="2"/>
  <c r="Q30" i="2"/>
  <c r="P31" i="2"/>
  <c r="Q31" i="2"/>
  <c r="P32" i="2"/>
  <c r="Q32" i="2"/>
  <c r="P33" i="2"/>
  <c r="Q33" i="2"/>
  <c r="Q24" i="2"/>
  <c r="P24" i="2"/>
  <c r="Q23" i="2"/>
  <c r="P23" i="2"/>
  <c r="Q22" i="2"/>
  <c r="P22" i="2"/>
  <c r="BS6" i="2" l="1"/>
  <c r="BS15" i="2"/>
  <c r="BS5" i="2"/>
  <c r="BS16" i="2"/>
  <c r="BS14" i="2"/>
  <c r="BS13" i="2"/>
  <c r="BS12" i="2"/>
  <c r="BS11" i="2"/>
  <c r="BS10" i="2"/>
  <c r="BS8" i="2"/>
  <c r="BS7" i="2"/>
  <c r="BS9" i="2"/>
</calcChain>
</file>

<file path=xl/sharedStrings.xml><?xml version="1.0" encoding="utf-8"?>
<sst xmlns="http://schemas.openxmlformats.org/spreadsheetml/2006/main" count="169" uniqueCount="33">
  <si>
    <t>♘</t>
  </si>
  <si>
    <t>F</t>
  </si>
  <si>
    <t>MOVIEMIENTOS VALIDOS</t>
  </si>
  <si>
    <t>TABLERO PARA EL PROBLEMA</t>
  </si>
  <si>
    <t>CROMOSOMA</t>
  </si>
  <si>
    <t>FUNCION DE EVALUACION</t>
  </si>
  <si>
    <t>ESCALA DE EVALUACION</t>
  </si>
  <si>
    <t>CUANTOS MOVIMIENTOS LEGALES TIENE EL CABALLO</t>
  </si>
  <si>
    <t>Donde:
max = Maximo de movimientos legales
min = Minimos de movimientos legales</t>
  </si>
  <si>
    <t>0123456789ABCDEF</t>
  </si>
  <si>
    <t>Donde:
0,1,2,3,4,5,6,7,8,9,A,B,C,D,E,F representan a cada dígito del cromoma y puede tomar valores de 1 a 8 (movimientos que puede realizar el caballo)</t>
  </si>
  <si>
    <t>Nº</t>
  </si>
  <si>
    <t>CROMOSOMAS</t>
  </si>
  <si>
    <t>A</t>
  </si>
  <si>
    <t>B</t>
  </si>
  <si>
    <t>C</t>
  </si>
  <si>
    <t>D</t>
  </si>
  <si>
    <t>MOVIMIENTOS
LEGALES</t>
  </si>
  <si>
    <t>EVALUACION</t>
  </si>
  <si>
    <t>CRUCE</t>
  </si>
  <si>
    <t>MUTACION</t>
  </si>
  <si>
    <t>MEJOR RESULTADO</t>
  </si>
  <si>
    <t>SEMILLA ALEATORIA</t>
  </si>
  <si>
    <t>MAX
GENERACION</t>
  </si>
  <si>
    <t xml:space="preserve"> PARAMETROS</t>
  </si>
  <si>
    <t>OTROS RESULTADOS</t>
  </si>
  <si>
    <t>♞</t>
  </si>
  <si>
    <t>BIT DE CRUCE
0-D</t>
  </si>
  <si>
    <t>MAX M. LEGALES
1-15</t>
  </si>
  <si>
    <t>PESO</t>
  </si>
  <si>
    <t>DENSIDAD DE MUTA
1-10</t>
  </si>
  <si>
    <t>E</t>
  </si>
  <si>
    <t>GENERACION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</si>
</sst>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Malgun Gothic"/>
      <family val="2"/>
    </font>
    <font>
      <sz val="28"/>
      <color theme="1"/>
      <name val="Malgun Gothic"/>
      <family val="2"/>
    </font>
    <font>
      <sz val="18"/>
      <color theme="1"/>
      <name val="Malgun Gothic"/>
      <family val="2"/>
    </font>
    <font>
      <sz val="24"/>
      <color theme="1"/>
      <name val="Malgun Gothic"/>
      <family val="2"/>
    </font>
    <font>
      <i/>
      <sz val="12"/>
      <color theme="1"/>
      <name val="Malgun Gothic"/>
      <family val="2"/>
    </font>
    <font>
      <i/>
      <sz val="16"/>
      <color theme="1"/>
      <name val="Malgun Gothic"/>
      <family val="2"/>
    </font>
    <font>
      <i/>
      <sz val="18"/>
      <color theme="1"/>
      <name val="Malgun Gothic"/>
      <family val="2"/>
    </font>
    <font>
      <sz val="16"/>
      <color theme="0"/>
      <name val="Malgun Gothic"/>
      <family val="2"/>
    </font>
    <font>
      <sz val="18"/>
      <color theme="0"/>
      <name val="Malgun Gothic"/>
      <family val="2"/>
    </font>
    <font>
      <sz val="9"/>
      <color theme="1"/>
      <name val="Malgun Gothic"/>
      <family val="2"/>
    </font>
    <font>
      <sz val="9"/>
      <color theme="0"/>
      <name val="Malgun Gothic"/>
      <family val="2"/>
    </font>
    <font>
      <sz val="12"/>
      <color theme="0"/>
      <name val="Malgun Gothic"/>
      <family val="2"/>
    </font>
    <font>
      <sz val="8"/>
      <color theme="0"/>
      <name val="Malgun Gothic"/>
      <family val="2"/>
    </font>
    <font>
      <u/>
      <sz val="9"/>
      <color theme="1"/>
      <name val="Malgun Gothic"/>
      <family val="2"/>
    </font>
  </fonts>
  <fills count="64">
    <fill>
      <patternFill patternType="none"/>
    </fill>
    <fill>
      <patternFill patternType="gray125"/>
    </fill>
    <fill>
      <patternFill patternType="solid">
        <fgColor rgb="FFE86A0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6EA60A"/>
        <bgColor indexed="64"/>
      </patternFill>
    </fill>
    <fill>
      <patternFill patternType="solid">
        <fgColor rgb="FF436816"/>
        <bgColor indexed="64"/>
      </patternFill>
    </fill>
    <fill>
      <patternFill patternType="solid">
        <fgColor rgb="FFD448A2"/>
        <bgColor indexed="64"/>
      </patternFill>
    </fill>
    <fill>
      <patternFill patternType="solid">
        <fgColor rgb="FF13257F"/>
        <bgColor indexed="64"/>
      </patternFill>
    </fill>
    <fill>
      <patternFill patternType="solid">
        <fgColor rgb="FFD00A39"/>
        <bgColor indexed="64"/>
      </patternFill>
    </fill>
    <fill>
      <patternFill patternType="solid">
        <fgColor rgb="FF8D0536"/>
        <bgColor indexed="64"/>
      </patternFill>
    </fill>
    <fill>
      <patternFill patternType="solid">
        <fgColor rgb="FFE74A03"/>
        <bgColor indexed="64"/>
      </patternFill>
    </fill>
    <fill>
      <patternFill patternType="solid">
        <fgColor rgb="FFBF2005"/>
        <bgColor indexed="64"/>
      </patternFill>
    </fill>
    <fill>
      <patternFill patternType="solid">
        <fgColor rgb="FFE1AF23"/>
        <bgColor indexed="64"/>
      </patternFill>
    </fill>
    <fill>
      <patternFill patternType="solid">
        <fgColor rgb="FFBBE911"/>
        <bgColor indexed="64"/>
      </patternFill>
    </fill>
    <fill>
      <patternFill patternType="solid">
        <fgColor rgb="FF4CABE6"/>
        <bgColor indexed="64"/>
      </patternFill>
    </fill>
    <fill>
      <patternFill patternType="solid">
        <fgColor rgb="FF1876B0"/>
        <bgColor indexed="64"/>
      </patternFill>
    </fill>
    <fill>
      <patternFill patternType="solid">
        <fgColor rgb="FFAC3AA7"/>
        <bgColor indexed="64"/>
      </patternFill>
    </fill>
    <fill>
      <patternFill patternType="solid">
        <fgColor rgb="FF5DDA0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8C0D"/>
        <bgColor indexed="64"/>
      </patternFill>
    </fill>
    <fill>
      <patternFill patternType="solid">
        <fgColor rgb="FFB3370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91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08BFD"/>
        <bgColor indexed="64"/>
      </patternFill>
    </fill>
    <fill>
      <patternFill patternType="solid">
        <fgColor rgb="FF2085FB"/>
        <bgColor indexed="64"/>
      </patternFill>
    </fill>
    <fill>
      <patternFill patternType="solid">
        <fgColor rgb="FF307FF8"/>
        <bgColor indexed="64"/>
      </patternFill>
    </fill>
    <fill>
      <patternFill patternType="solid">
        <fgColor rgb="FF4079F6"/>
        <bgColor indexed="64"/>
      </patternFill>
    </fill>
    <fill>
      <patternFill patternType="solid">
        <fgColor rgb="FF5073F4"/>
        <bgColor indexed="64"/>
      </patternFill>
    </fill>
    <fill>
      <patternFill patternType="solid">
        <fgColor rgb="FF606DF2"/>
        <bgColor indexed="64"/>
      </patternFill>
    </fill>
    <fill>
      <patternFill patternType="solid">
        <fgColor rgb="FF7067F0"/>
        <bgColor indexed="64"/>
      </patternFill>
    </fill>
    <fill>
      <patternFill patternType="solid">
        <fgColor rgb="FF9F56E9"/>
        <bgColor indexed="64"/>
      </patternFill>
    </fill>
    <fill>
      <patternFill patternType="solid">
        <fgColor rgb="FFAF50E7"/>
        <bgColor indexed="64"/>
      </patternFill>
    </fill>
    <fill>
      <patternFill patternType="solid">
        <fgColor rgb="FFCF44E3"/>
        <bgColor indexed="64"/>
      </patternFill>
    </fill>
    <fill>
      <patternFill patternType="solid">
        <fgColor rgb="FFDF3EE0"/>
        <bgColor indexed="64"/>
      </patternFill>
    </fill>
    <fill>
      <patternFill patternType="solid">
        <fgColor rgb="FFFF32DC"/>
        <bgColor indexed="64"/>
      </patternFill>
    </fill>
    <fill>
      <patternFill patternType="solid">
        <fgColor rgb="FFC8FFAA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8F8FFF"/>
        <bgColor indexed="64"/>
      </patternFill>
    </fill>
    <fill>
      <patternFill patternType="solid">
        <fgColor rgb="FF77DBAB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E4E4B9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F77E3B"/>
        <bgColor indexed="64"/>
      </patternFill>
    </fill>
    <fill>
      <patternFill patternType="solid">
        <fgColor rgb="FFB9E381"/>
        <bgColor indexed="64"/>
      </patternFill>
    </fill>
    <fill>
      <patternFill patternType="solid">
        <fgColor rgb="FF8062EE"/>
        <bgColor indexed="64"/>
      </patternFill>
    </fill>
    <fill>
      <patternFill patternType="solid">
        <fgColor rgb="FF8F5CEB"/>
        <bgColor indexed="64"/>
      </patternFill>
    </fill>
    <fill>
      <patternFill patternType="solid">
        <fgColor rgb="FFF1D6C0"/>
        <bgColor indexed="64"/>
      </patternFill>
    </fill>
    <fill>
      <patternFill patternType="solid">
        <fgColor rgb="FFD6F1B2"/>
        <bgColor indexed="64"/>
      </patternFill>
    </fill>
    <fill>
      <patternFill patternType="solid">
        <fgColor rgb="FFF8CFC4"/>
        <bgColor indexed="64"/>
      </patternFill>
    </fill>
    <fill>
      <patternFill patternType="solid">
        <fgColor rgb="FFEADDBD"/>
        <bgColor indexed="64"/>
      </patternFill>
    </fill>
    <fill>
      <patternFill patternType="solid">
        <fgColor rgb="FFDDEAB5"/>
        <bgColor indexed="64"/>
      </patternFill>
    </fill>
    <fill>
      <patternFill patternType="solid">
        <fgColor rgb="FFCFF8A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</borders>
  <cellStyleXfs count="1">
    <xf numFmtId="0" fontId="0" fillId="0" borderId="0"/>
  </cellStyleXfs>
  <cellXfs count="175">
    <xf numFmtId="0" fontId="0" fillId="0" borderId="0" xfId="0"/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top" wrapText="1"/>
    </xf>
    <xf numFmtId="0" fontId="7" fillId="0" borderId="0" xfId="0" applyFont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12" borderId="0" xfId="0" applyFont="1" applyFill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0" fontId="11" fillId="18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22" borderId="0" xfId="0" applyFont="1" applyFill="1" applyAlignment="1">
      <alignment horizontal="center" vertical="center"/>
    </xf>
    <xf numFmtId="49" fontId="10" fillId="0" borderId="0" xfId="0" applyNumberFormat="1" applyFont="1" applyAlignment="1">
      <alignment vertical="center"/>
    </xf>
    <xf numFmtId="0" fontId="10" fillId="30" borderId="0" xfId="0" applyFont="1" applyFill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0" fillId="44" borderId="0" xfId="0" applyFont="1" applyFill="1" applyAlignment="1">
      <alignment horizontal="center" vertical="center"/>
    </xf>
    <xf numFmtId="0" fontId="10" fillId="31" borderId="0" xfId="0" applyFont="1" applyFill="1" applyAlignment="1">
      <alignment horizontal="center" vertical="center"/>
    </xf>
    <xf numFmtId="0" fontId="10" fillId="45" borderId="0" xfId="0" applyFont="1" applyFill="1" applyAlignment="1">
      <alignment horizontal="center" vertical="center"/>
    </xf>
    <xf numFmtId="0" fontId="10" fillId="31" borderId="9" xfId="0" applyFont="1" applyFill="1" applyBorder="1" applyAlignment="1">
      <alignment horizontal="center" vertical="center"/>
    </xf>
    <xf numFmtId="0" fontId="10" fillId="31" borderId="10" xfId="0" applyFont="1" applyFill="1" applyBorder="1" applyAlignment="1">
      <alignment horizontal="center" vertical="center"/>
    </xf>
    <xf numFmtId="0" fontId="10" fillId="52" borderId="0" xfId="0" applyFont="1" applyFill="1" applyAlignment="1">
      <alignment horizontal="center" vertical="center"/>
    </xf>
    <xf numFmtId="0" fontId="10" fillId="31" borderId="11" xfId="0" applyFont="1" applyFill="1" applyBorder="1" applyAlignment="1">
      <alignment horizontal="center" vertical="center"/>
    </xf>
    <xf numFmtId="0" fontId="10" fillId="31" borderId="1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7" fillId="0" borderId="0" xfId="0" applyFont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9" fontId="11" fillId="36" borderId="0" xfId="0" applyNumberFormat="1" applyFont="1" applyFill="1" applyAlignment="1">
      <alignment horizontal="center" vertical="center"/>
    </xf>
    <xf numFmtId="49" fontId="11" fillId="28" borderId="0" xfId="0" applyNumberFormat="1" applyFont="1" applyFill="1" applyAlignment="1">
      <alignment horizontal="center" vertical="center"/>
    </xf>
    <xf numFmtId="49" fontId="11" fillId="28" borderId="5" xfId="0" applyNumberFormat="1" applyFont="1" applyFill="1" applyBorder="1" applyAlignment="1">
      <alignment horizontal="center" vertical="center"/>
    </xf>
    <xf numFmtId="0" fontId="10" fillId="26" borderId="4" xfId="0" applyFont="1" applyFill="1" applyBorder="1" applyAlignment="1">
      <alignment horizontal="center" vertical="center"/>
    </xf>
    <xf numFmtId="0" fontId="10" fillId="26" borderId="6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26" borderId="0" xfId="0" applyFont="1" applyFill="1" applyAlignment="1">
      <alignment horizontal="center" vertical="center"/>
    </xf>
    <xf numFmtId="0" fontId="10" fillId="26" borderId="7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37" borderId="8" xfId="0" applyFont="1" applyFill="1" applyBorder="1" applyAlignment="1">
      <alignment horizontal="center" vertical="center"/>
    </xf>
    <xf numFmtId="49" fontId="11" fillId="28" borderId="4" xfId="0" applyNumberFormat="1" applyFont="1" applyFill="1" applyBorder="1" applyAlignment="1">
      <alignment horizontal="center" vertical="center"/>
    </xf>
    <xf numFmtId="49" fontId="11" fillId="28" borderId="6" xfId="0" applyNumberFormat="1" applyFont="1" applyFill="1" applyBorder="1" applyAlignment="1">
      <alignment horizontal="center" vertical="center"/>
    </xf>
    <xf numFmtId="49" fontId="11" fillId="33" borderId="0" xfId="0" applyNumberFormat="1" applyFont="1" applyFill="1" applyAlignment="1">
      <alignment horizontal="center" vertical="center"/>
    </xf>
    <xf numFmtId="49" fontId="11" fillId="38" borderId="0" xfId="0" applyNumberFormat="1" applyFont="1" applyFill="1" applyAlignment="1">
      <alignment horizontal="center" vertical="center"/>
    </xf>
    <xf numFmtId="49" fontId="11" fillId="28" borderId="7" xfId="0" applyNumberFormat="1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26" borderId="5" xfId="0" applyFont="1" applyFill="1" applyBorder="1" applyAlignment="1">
      <alignment horizontal="center" vertical="center"/>
    </xf>
    <xf numFmtId="49" fontId="11" fillId="28" borderId="2" xfId="0" applyNumberFormat="1" applyFont="1" applyFill="1" applyBorder="1" applyAlignment="1">
      <alignment horizontal="center" vertical="center"/>
    </xf>
    <xf numFmtId="49" fontId="11" fillId="28" borderId="3" xfId="0" applyNumberFormat="1" applyFont="1" applyFill="1" applyBorder="1" applyAlignment="1">
      <alignment horizontal="center" vertical="center"/>
    </xf>
    <xf numFmtId="49" fontId="11" fillId="32" borderId="0" xfId="0" applyNumberFormat="1" applyFont="1" applyFill="1" applyAlignment="1">
      <alignment horizontal="center" vertical="center"/>
    </xf>
    <xf numFmtId="49" fontId="11" fillId="37" borderId="5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26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26" borderId="3" xfId="0" applyFont="1" applyFill="1" applyBorder="1" applyAlignment="1">
      <alignment horizontal="center" vertical="center"/>
    </xf>
    <xf numFmtId="49" fontId="11" fillId="29" borderId="1" xfId="0" applyNumberFormat="1" applyFont="1" applyFill="1" applyBorder="1" applyAlignment="1">
      <alignment horizontal="center" vertical="center"/>
    </xf>
    <xf numFmtId="49" fontId="11" fillId="35" borderId="0" xfId="0" applyNumberFormat="1" applyFont="1" applyFill="1" applyAlignment="1">
      <alignment horizontal="center" vertical="center"/>
    </xf>
    <xf numFmtId="49" fontId="11" fillId="33" borderId="5" xfId="0" applyNumberFormat="1" applyFont="1" applyFill="1" applyBorder="1" applyAlignment="1">
      <alignment horizontal="center" vertical="center"/>
    </xf>
    <xf numFmtId="49" fontId="11" fillId="34" borderId="0" xfId="0" applyNumberFormat="1" applyFont="1" applyFill="1" applyAlignment="1">
      <alignment horizontal="center" vertical="center"/>
    </xf>
    <xf numFmtId="49" fontId="11" fillId="56" borderId="0" xfId="0" applyNumberFormat="1" applyFont="1" applyFill="1" applyAlignment="1">
      <alignment horizontal="center" vertical="center"/>
    </xf>
    <xf numFmtId="49" fontId="11" fillId="57" borderId="4" xfId="0" applyNumberFormat="1" applyFont="1" applyFill="1" applyBorder="1" applyAlignment="1">
      <alignment horizontal="center" vertical="center"/>
    </xf>
    <xf numFmtId="49" fontId="11" fillId="40" borderId="0" xfId="0" applyNumberFormat="1" applyFont="1" applyFill="1" applyAlignment="1">
      <alignment horizontal="center" vertical="center"/>
    </xf>
    <xf numFmtId="49" fontId="11" fillId="37" borderId="0" xfId="0" applyNumberFormat="1" applyFont="1" applyFill="1" applyAlignment="1">
      <alignment horizontal="center" vertical="center"/>
    </xf>
    <xf numFmtId="49" fontId="11" fillId="35" borderId="4" xfId="0" applyNumberFormat="1" applyFont="1" applyFill="1" applyBorder="1" applyAlignment="1">
      <alignment horizontal="center" vertical="center"/>
    </xf>
    <xf numFmtId="49" fontId="11" fillId="27" borderId="0" xfId="0" applyNumberFormat="1" applyFont="1" applyFill="1" applyAlignment="1">
      <alignment horizontal="center" vertical="center"/>
    </xf>
    <xf numFmtId="49" fontId="11" fillId="41" borderId="0" xfId="0" applyNumberFormat="1" applyFont="1" applyFill="1" applyAlignment="1">
      <alignment horizontal="center" vertical="center"/>
    </xf>
    <xf numFmtId="49" fontId="11" fillId="42" borderId="0" xfId="0" applyNumberFormat="1" applyFont="1" applyFill="1" applyAlignment="1">
      <alignment horizontal="center" vertical="center"/>
    </xf>
    <xf numFmtId="49" fontId="11" fillId="38" borderId="2" xfId="0" applyNumberFormat="1" applyFont="1" applyFill="1" applyBorder="1" applyAlignment="1">
      <alignment horizontal="center" vertical="center"/>
    </xf>
    <xf numFmtId="49" fontId="11" fillId="39" borderId="0" xfId="0" applyNumberFormat="1" applyFont="1" applyFill="1" applyAlignment="1">
      <alignment horizontal="center" vertical="center"/>
    </xf>
    <xf numFmtId="49" fontId="11" fillId="43" borderId="0" xfId="0" applyNumberFormat="1" applyFont="1" applyFill="1" applyAlignment="1">
      <alignment horizontal="center" vertical="center"/>
    </xf>
    <xf numFmtId="0" fontId="11" fillId="51" borderId="0" xfId="0" applyFont="1" applyFill="1" applyAlignment="1">
      <alignment horizontal="center" vertical="center"/>
    </xf>
    <xf numFmtId="0" fontId="11" fillId="51" borderId="3" xfId="0" applyFont="1" applyFill="1" applyBorder="1" applyAlignment="1">
      <alignment horizontal="center" vertical="center"/>
    </xf>
    <xf numFmtId="0" fontId="11" fillId="51" borderId="5" xfId="0" applyFont="1" applyFill="1" applyBorder="1" applyAlignment="1">
      <alignment horizontal="center" vertical="center"/>
    </xf>
    <xf numFmtId="0" fontId="11" fillId="51" borderId="4" xfId="0" applyFont="1" applyFill="1" applyBorder="1" applyAlignment="1">
      <alignment horizontal="center" vertical="center"/>
    </xf>
    <xf numFmtId="0" fontId="11" fillId="56" borderId="0" xfId="0" applyFont="1" applyFill="1" applyAlignment="1">
      <alignment horizontal="center" vertical="center"/>
    </xf>
    <xf numFmtId="0" fontId="11" fillId="32" borderId="0" xfId="0" applyFont="1" applyFill="1" applyAlignment="1">
      <alignment horizontal="center" vertical="center"/>
    </xf>
    <xf numFmtId="0" fontId="11" fillId="51" borderId="6" xfId="0" applyFont="1" applyFill="1" applyBorder="1" applyAlignment="1">
      <alignment horizontal="center" vertical="center"/>
    </xf>
    <xf numFmtId="0" fontId="11" fillId="51" borderId="7" xfId="0" applyFont="1" applyFill="1" applyBorder="1" applyAlignment="1">
      <alignment horizontal="center" vertical="center"/>
    </xf>
    <xf numFmtId="0" fontId="13" fillId="21" borderId="0" xfId="0" applyFont="1" applyFill="1" applyAlignment="1">
      <alignment horizontal="center" vertical="center"/>
    </xf>
    <xf numFmtId="0" fontId="11" fillId="19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top"/>
    </xf>
    <xf numFmtId="0" fontId="11" fillId="23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 wrapText="1"/>
    </xf>
    <xf numFmtId="0" fontId="11" fillId="9" borderId="0" xfId="0" applyFont="1" applyFill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0" fillId="20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1" fillId="25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 wrapText="1"/>
    </xf>
    <xf numFmtId="0" fontId="10" fillId="24" borderId="0" xfId="0" applyFont="1" applyFill="1" applyAlignment="1">
      <alignment horizontal="center" vertical="center" wrapText="1"/>
    </xf>
    <xf numFmtId="0" fontId="10" fillId="24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/>
    </xf>
    <xf numFmtId="0" fontId="11" fillId="29" borderId="1" xfId="0" applyFont="1" applyFill="1" applyBorder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0" fontId="13" fillId="15" borderId="0" xfId="0" applyFont="1" applyFill="1" applyAlignment="1">
      <alignment horizontal="center" vertical="center"/>
    </xf>
    <xf numFmtId="0" fontId="13" fillId="17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49" fontId="11" fillId="0" borderId="2" xfId="0" applyNumberFormat="1" applyFont="1" applyFill="1" applyBorder="1" applyAlignment="1">
      <alignment horizontal="center" vertical="center"/>
    </xf>
    <xf numFmtId="49" fontId="11" fillId="0" borderId="4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49" fontId="11" fillId="0" borderId="5" xfId="0" applyNumberFormat="1" applyFont="1" applyFill="1" applyBorder="1" applyAlignment="1">
      <alignment horizontal="center" vertical="center"/>
    </xf>
    <xf numFmtId="49" fontId="11" fillId="0" borderId="7" xfId="0" applyNumberFormat="1" applyFont="1" applyFill="1" applyBorder="1" applyAlignment="1">
      <alignment horizontal="center" vertical="center"/>
    </xf>
    <xf numFmtId="49" fontId="11" fillId="0" borderId="8" xfId="0" applyNumberFormat="1" applyFont="1" applyFill="1" applyBorder="1" applyAlignment="1">
      <alignment horizontal="center" vertical="center"/>
    </xf>
    <xf numFmtId="0" fontId="10" fillId="31" borderId="0" xfId="0" applyFont="1" applyFill="1" applyBorder="1" applyAlignment="1">
      <alignment horizontal="center" vertical="center"/>
    </xf>
    <xf numFmtId="0" fontId="10" fillId="45" borderId="0" xfId="0" applyFont="1" applyFill="1" applyBorder="1" applyAlignment="1">
      <alignment horizontal="center" vertical="center"/>
    </xf>
    <xf numFmtId="0" fontId="10" fillId="47" borderId="0" xfId="0" applyFont="1" applyFill="1" applyBorder="1" applyAlignment="1">
      <alignment horizontal="center" vertical="center"/>
    </xf>
    <xf numFmtId="0" fontId="10" fillId="55" borderId="0" xfId="0" applyFont="1" applyFill="1" applyBorder="1" applyAlignment="1">
      <alignment horizontal="center" vertical="center"/>
    </xf>
    <xf numFmtId="0" fontId="10" fillId="49" borderId="0" xfId="0" applyFont="1" applyFill="1" applyBorder="1" applyAlignment="1">
      <alignment horizontal="center" vertical="center"/>
    </xf>
    <xf numFmtId="0" fontId="10" fillId="53" borderId="0" xfId="0" applyFont="1" applyFill="1" applyBorder="1" applyAlignment="1">
      <alignment horizontal="center" vertical="center"/>
    </xf>
    <xf numFmtId="0" fontId="10" fillId="50" borderId="0" xfId="0" applyFont="1" applyFill="1" applyBorder="1" applyAlignment="1">
      <alignment horizontal="center" vertical="center"/>
    </xf>
    <xf numFmtId="0" fontId="10" fillId="46" borderId="0" xfId="0" applyFont="1" applyFill="1" applyBorder="1" applyAlignment="1">
      <alignment horizontal="center" vertical="center"/>
    </xf>
    <xf numFmtId="0" fontId="10" fillId="54" borderId="0" xfId="0" applyFont="1" applyFill="1" applyBorder="1" applyAlignment="1">
      <alignment horizontal="center" vertical="center"/>
    </xf>
    <xf numFmtId="0" fontId="10" fillId="48" borderId="0" xfId="0" applyFont="1" applyFill="1" applyBorder="1" applyAlignment="1">
      <alignment horizontal="center" vertical="center"/>
    </xf>
    <xf numFmtId="49" fontId="11" fillId="33" borderId="4" xfId="0" applyNumberFormat="1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49" fontId="11" fillId="35" borderId="5" xfId="0" applyNumberFormat="1" applyFont="1" applyFill="1" applyBorder="1" applyAlignment="1">
      <alignment horizontal="center" vertical="center"/>
    </xf>
    <xf numFmtId="0" fontId="10" fillId="58" borderId="0" xfId="0" applyFont="1" applyFill="1" applyAlignment="1">
      <alignment horizontal="center" vertical="center"/>
    </xf>
    <xf numFmtId="0" fontId="10" fillId="59" borderId="0" xfId="0" applyFont="1" applyFill="1" applyAlignment="1">
      <alignment horizontal="center" vertical="center"/>
    </xf>
    <xf numFmtId="49" fontId="11" fillId="38" borderId="3" xfId="0" applyNumberFormat="1" applyFont="1" applyFill="1" applyBorder="1" applyAlignment="1">
      <alignment horizontal="center" vertical="center"/>
    </xf>
    <xf numFmtId="0" fontId="10" fillId="60" borderId="0" xfId="0" applyFont="1" applyFill="1" applyAlignment="1">
      <alignment horizontal="center" vertical="center"/>
    </xf>
    <xf numFmtId="0" fontId="10" fillId="61" borderId="0" xfId="0" applyFont="1" applyFill="1" applyAlignment="1">
      <alignment horizontal="center" vertical="center"/>
    </xf>
    <xf numFmtId="0" fontId="10" fillId="62" borderId="0" xfId="0" applyFont="1" applyFill="1" applyAlignment="1">
      <alignment horizontal="center" vertical="center"/>
    </xf>
    <xf numFmtId="0" fontId="10" fillId="63" borderId="0" xfId="0" applyFont="1" applyFill="1" applyAlignment="1">
      <alignment horizontal="center" vertical="center"/>
    </xf>
    <xf numFmtId="0" fontId="11" fillId="33" borderId="5" xfId="0" applyFont="1" applyFill="1" applyBorder="1" applyAlignment="1">
      <alignment horizontal="center" vertical="center"/>
    </xf>
    <xf numFmtId="0" fontId="11" fillId="36" borderId="0" xfId="0" applyFont="1" applyFill="1" applyAlignment="1">
      <alignment horizontal="center" vertical="center"/>
    </xf>
    <xf numFmtId="0" fontId="11" fillId="37" borderId="5" xfId="0" applyFont="1" applyFill="1" applyBorder="1" applyAlignment="1">
      <alignment horizontal="center" vertical="center"/>
    </xf>
    <xf numFmtId="49" fontId="11" fillId="57" borderId="3" xfId="0" applyNumberFormat="1" applyFont="1" applyFill="1" applyBorder="1" applyAlignment="1">
      <alignment horizontal="center" vertical="center"/>
    </xf>
    <xf numFmtId="49" fontId="11" fillId="40" borderId="5" xfId="0" applyNumberFormat="1" applyFont="1" applyFill="1" applyBorder="1" applyAlignment="1">
      <alignment horizontal="center" vertical="center"/>
    </xf>
    <xf numFmtId="0" fontId="11" fillId="34" borderId="0" xfId="0" applyFont="1" applyFill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11" fillId="57" borderId="4" xfId="0" applyFont="1" applyFill="1" applyBorder="1" applyAlignment="1">
      <alignment horizontal="center" vertical="center"/>
    </xf>
    <xf numFmtId="49" fontId="11" fillId="37" borderId="2" xfId="0" applyNumberFormat="1" applyFont="1" applyFill="1" applyBorder="1" applyAlignment="1">
      <alignment horizontal="center" vertical="center"/>
    </xf>
    <xf numFmtId="49" fontId="11" fillId="36" borderId="2" xfId="0" applyNumberFormat="1" applyFont="1" applyFill="1" applyBorder="1" applyAlignment="1">
      <alignment horizontal="center" vertical="center"/>
    </xf>
    <xf numFmtId="49" fontId="11" fillId="39" borderId="2" xfId="0" applyNumberFormat="1" applyFont="1" applyFill="1" applyBorder="1" applyAlignment="1">
      <alignment horizontal="center" vertical="center"/>
    </xf>
    <xf numFmtId="0" fontId="11" fillId="35" borderId="4" xfId="0" applyFont="1" applyFill="1" applyBorder="1" applyAlignment="1">
      <alignment horizontal="center" vertical="center"/>
    </xf>
    <xf numFmtId="49" fontId="11" fillId="38" borderId="5" xfId="0" applyNumberFormat="1" applyFont="1" applyFill="1" applyBorder="1" applyAlignment="1">
      <alignment horizontal="center" vertical="center"/>
    </xf>
    <xf numFmtId="0" fontId="11" fillId="39" borderId="2" xfId="0" applyFont="1" applyFill="1" applyBorder="1" applyAlignment="1">
      <alignment horizontal="center" vertical="center"/>
    </xf>
    <xf numFmtId="0" fontId="11" fillId="4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F8F"/>
      <color rgb="FFCB9661"/>
      <color rgb="FFB9E381"/>
      <color rgb="FFF77E3B"/>
      <color rgb="FF77DBAB"/>
      <color rgb="FF8F8FFF"/>
      <color rgb="FF092918"/>
      <color rgb="FFB33705"/>
      <color rgb="FFC6600C"/>
      <color rgb="FF69CA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680357</xdr:colOff>
      <xdr:row>7</xdr:row>
      <xdr:rowOff>19050</xdr:rowOff>
    </xdr:from>
    <xdr:ext cx="2952751" cy="6477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DF71A81-2CE5-6E2F-C578-529FD375661A}"/>
                </a:ext>
              </a:extLst>
            </xdr:cNvPr>
            <xdr:cNvSpPr txBox="1"/>
          </xdr:nvSpPr>
          <xdr:spPr>
            <a:xfrm>
              <a:off x="15103928" y="3774621"/>
              <a:ext cx="2952751" cy="6477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BO" sz="1600" i="0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s-BO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BO" sz="1600" i="0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s-BO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BO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BO" sz="1600" i="0">
                            <a:latin typeface="Cambria Math" panose="02040503050406030204" pitchFamily="18" charset="0"/>
                          </a:rPr>
                          <m:t>100⋅</m:t>
                        </m:r>
                        <m:d>
                          <m:dPr>
                            <m:ctrlPr>
                              <a:rPr lang="es-BO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BO" sz="16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s-BO" sz="1600" i="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1600" i="0"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d>
                      </m:num>
                      <m:den>
                        <m:func>
                          <m:funcPr>
                            <m:ctrlPr>
                              <a:rPr lang="es-BO" sz="16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BO" sz="16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es-BO" sz="1600" i="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1600" i="0"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func>
                      </m:den>
                    </m:f>
                  </m:oMath>
                </m:oMathPara>
              </a14:m>
              <a:endParaRPr lang="es-BO" sz="16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DF71A81-2CE5-6E2F-C578-529FD375661A}"/>
                </a:ext>
              </a:extLst>
            </xdr:cNvPr>
            <xdr:cNvSpPr txBox="1"/>
          </xdr:nvSpPr>
          <xdr:spPr>
            <a:xfrm>
              <a:off x="15103928" y="3774621"/>
              <a:ext cx="2952751" cy="6477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s-BO" sz="1600" i="0">
                  <a:latin typeface="Cambria Math" panose="02040503050406030204" pitchFamily="18" charset="0"/>
                </a:rPr>
                <a:t>𝑓</a:t>
              </a:r>
              <a:r>
                <a:rPr lang="es-BO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s-BO" sz="1600" i="0">
                  <a:latin typeface="Cambria Math" panose="02040503050406030204" pitchFamily="18" charset="0"/>
                </a:rPr>
                <a:t>𝑥)=</a:t>
              </a:r>
              <a:r>
                <a:rPr lang="es-BO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s-BO" sz="1600" i="0">
                  <a:latin typeface="Cambria Math" panose="02040503050406030204" pitchFamily="18" charset="0"/>
                </a:rPr>
                <a:t>100⋅</a:t>
              </a:r>
              <a:r>
                <a:rPr lang="es-BO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s-BO" sz="1600" i="0">
                  <a:latin typeface="Cambria Math" panose="02040503050406030204" pitchFamily="18" charset="0"/>
                </a:rPr>
                <a:t>𝑥−min)</a:t>
              </a:r>
              <a:r>
                <a:rPr lang="es-BO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)/</a:t>
              </a:r>
              <a:r>
                <a:rPr lang="es-BO" sz="1600" i="0">
                  <a:latin typeface="Cambria Math" panose="02040503050406030204" pitchFamily="18" charset="0"/>
                </a:rPr>
                <a:t>max⁡〖−min〗 </a:t>
              </a:r>
              <a:endParaRPr lang="es-BO" sz="16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952500</xdr:colOff>
      <xdr:row>2</xdr:row>
      <xdr:rowOff>163390</xdr:rowOff>
    </xdr:from>
    <xdr:ext cx="901212" cy="208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CA84AFDC-4FB1-4CF5-8C62-8D075F6ED884}"/>
                </a:ext>
              </a:extLst>
            </xdr:cNvPr>
            <xdr:cNvSpPr txBox="1"/>
          </xdr:nvSpPr>
          <xdr:spPr>
            <a:xfrm>
              <a:off x="5619750" y="696790"/>
              <a:ext cx="901212" cy="208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BO" sz="600" i="0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s-BO" sz="6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BO" sz="60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s-BO" sz="600" i="0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BO" sz="6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BO" sz="60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100⋅</m:t>
                        </m:r>
                        <m:d>
                          <m:dPr>
                            <m:ctrlP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d>
                      </m:num>
                      <m:den>
                        <m:func>
                          <m:funcPr>
                            <m:ctrlP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func>
                      </m:den>
                    </m:f>
                  </m:oMath>
                </m:oMathPara>
              </a14:m>
              <a:endParaRPr lang="es-BO" sz="6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CA84AFDC-4FB1-4CF5-8C62-8D075F6ED884}"/>
                </a:ext>
              </a:extLst>
            </xdr:cNvPr>
            <xdr:cNvSpPr txBox="1"/>
          </xdr:nvSpPr>
          <xdr:spPr>
            <a:xfrm>
              <a:off x="5619750" y="696790"/>
              <a:ext cx="901212" cy="208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s-BO" sz="6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𝑓(𝑥)=(100⋅(𝑥−min))/max⁡〖−min〗 </a:t>
              </a:r>
              <a:endParaRPr lang="es-BO" sz="6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49</xdr:col>
      <xdr:colOff>933449</xdr:colOff>
      <xdr:row>2</xdr:row>
      <xdr:rowOff>142875</xdr:rowOff>
    </xdr:from>
    <xdr:ext cx="981075" cy="23812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CD38401F-53F8-40ED-96B3-E79AE1F98608}"/>
                </a:ext>
              </a:extLst>
            </xdr:cNvPr>
            <xdr:cNvSpPr txBox="1"/>
          </xdr:nvSpPr>
          <xdr:spPr>
            <a:xfrm>
              <a:off x="13754099" y="676275"/>
              <a:ext cx="981075" cy="2381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BO" sz="600" i="0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s-BO" sz="6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BO" sz="60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s-BO" sz="600" i="0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BO" sz="6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BO" sz="60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100⋅</m:t>
                        </m:r>
                        <m:d>
                          <m:dPr>
                            <m:ctrlP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d>
                      </m:num>
                      <m:den>
                        <m:func>
                          <m:funcPr>
                            <m:ctrlP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func>
                      </m:den>
                    </m:f>
                  </m:oMath>
                </m:oMathPara>
              </a14:m>
              <a:endParaRPr lang="es-BO" sz="6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CD38401F-53F8-40ED-96B3-E79AE1F98608}"/>
                </a:ext>
              </a:extLst>
            </xdr:cNvPr>
            <xdr:cNvSpPr txBox="1"/>
          </xdr:nvSpPr>
          <xdr:spPr>
            <a:xfrm>
              <a:off x="13754099" y="676275"/>
              <a:ext cx="981075" cy="2381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s-BO" sz="6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𝑓(𝑥)=(100⋅(𝑥−min))/max⁡〖−min〗 </a:t>
              </a:r>
              <a:endParaRPr lang="es-BO" sz="6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39</xdr:col>
      <xdr:colOff>7144</xdr:colOff>
      <xdr:row>20</xdr:row>
      <xdr:rowOff>9525</xdr:rowOff>
    </xdr:from>
    <xdr:to>
      <xdr:col>45</xdr:col>
      <xdr:colOff>202405</xdr:colOff>
      <xdr:row>23</xdr:row>
      <xdr:rowOff>142875</xdr:rowOff>
    </xdr:to>
    <xdr:sp macro="[0]!generarYa" textlink="">
      <xdr:nvSpPr>
        <xdr:cNvPr id="8" name="Rectángulo 7">
          <a:extLst>
            <a:ext uri="{FF2B5EF4-FFF2-40B4-BE49-F238E27FC236}">
              <a16:creationId xmlns:a16="http://schemas.microsoft.com/office/drawing/2014/main" id="{FC7D3E4B-BD73-98B6-05E0-4DA76B5F1AF9}"/>
            </a:ext>
          </a:extLst>
        </xdr:cNvPr>
        <xdr:cNvSpPr/>
      </xdr:nvSpPr>
      <xdr:spPr>
        <a:xfrm>
          <a:off x="10770394" y="3419475"/>
          <a:ext cx="1452561" cy="590550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BO" sz="1000">
              <a:latin typeface="Malgun Gothic" panose="020B0503020000020004" pitchFamily="34" charset="-127"/>
              <a:ea typeface="Malgun Gothic" panose="020B0503020000020004" pitchFamily="34" charset="-127"/>
            </a:rPr>
            <a:t>¡GENERAR</a:t>
          </a:r>
        </a:p>
        <a:p>
          <a:pPr algn="ctr"/>
          <a:r>
            <a:rPr lang="es-BO" sz="1000">
              <a:latin typeface="Malgun Gothic" panose="020B0503020000020004" pitchFamily="34" charset="-127"/>
              <a:ea typeface="Malgun Gothic" panose="020B0503020000020004" pitchFamily="34" charset="-127"/>
            </a:rPr>
            <a:t>YA!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F5B3D-49C3-410D-8111-07D0D92CE4A4}">
  <sheetPr codeName="Hoja1"/>
  <dimension ref="B2:AG19"/>
  <sheetViews>
    <sheetView zoomScale="55" zoomScaleNormal="55" workbookViewId="0">
      <selection activeCell="F20" sqref="F20"/>
    </sheetView>
  </sheetViews>
  <sheetFormatPr baseColWidth="10" defaultColWidth="10.7109375" defaultRowHeight="50.1" customHeight="1" x14ac:dyDescent="0.25"/>
  <cols>
    <col min="1" max="25" width="10.7109375" style="1"/>
    <col min="26" max="26" width="7.42578125" style="1" customWidth="1"/>
    <col min="27" max="16384" width="10.7109375" style="1"/>
  </cols>
  <sheetData>
    <row r="2" spans="2:33" ht="50.1" customHeight="1" x14ac:dyDescent="0.25">
      <c r="B2" s="50" t="s">
        <v>2</v>
      </c>
      <c r="C2" s="50"/>
      <c r="D2" s="50"/>
      <c r="E2" s="50"/>
      <c r="F2" s="50"/>
      <c r="G2" s="50"/>
      <c r="H2" s="50"/>
      <c r="I2" s="50"/>
      <c r="J2" s="50"/>
      <c r="K2" s="50"/>
      <c r="M2" s="51" t="s">
        <v>3</v>
      </c>
      <c r="N2" s="51"/>
      <c r="O2" s="51"/>
      <c r="P2" s="51"/>
      <c r="Q2" s="51"/>
      <c r="R2" s="51"/>
      <c r="S2" s="51"/>
      <c r="T2" s="51"/>
    </row>
    <row r="3" spans="2:33" ht="50.1" customHeigh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M3" s="4"/>
      <c r="N3" s="4"/>
      <c r="O3" s="4"/>
      <c r="P3" s="4"/>
      <c r="Q3" s="4"/>
      <c r="R3" s="4"/>
      <c r="S3" s="4"/>
      <c r="T3" s="4"/>
    </row>
    <row r="4" spans="2:33" ht="50.1" customHeight="1" x14ac:dyDescent="0.25">
      <c r="B4" s="32"/>
      <c r="C4" s="30"/>
      <c r="D4" s="28">
        <v>1</v>
      </c>
      <c r="E4" s="28"/>
      <c r="F4" s="30"/>
      <c r="G4" s="30"/>
      <c r="H4" s="28">
        <v>2</v>
      </c>
      <c r="I4" s="28"/>
      <c r="J4" s="30"/>
      <c r="K4" s="47"/>
      <c r="M4" s="32" t="s">
        <v>0</v>
      </c>
      <c r="N4" s="30"/>
      <c r="O4" s="46"/>
      <c r="P4" s="46"/>
      <c r="Q4" s="30"/>
      <c r="R4" s="30"/>
      <c r="S4" s="46"/>
      <c r="T4" s="57"/>
      <c r="V4" s="54" t="s">
        <v>6</v>
      </c>
      <c r="W4" s="54"/>
      <c r="X4" s="54"/>
      <c r="Y4" s="54"/>
      <c r="Z4" s="8"/>
    </row>
    <row r="5" spans="2:33" ht="50.1" customHeight="1" x14ac:dyDescent="0.25">
      <c r="B5" s="33"/>
      <c r="C5" s="31"/>
      <c r="D5" s="29"/>
      <c r="E5" s="29"/>
      <c r="F5" s="31"/>
      <c r="G5" s="31"/>
      <c r="H5" s="29"/>
      <c r="I5" s="29"/>
      <c r="J5" s="31"/>
      <c r="K5" s="40"/>
      <c r="M5" s="33"/>
      <c r="N5" s="31"/>
      <c r="O5" s="34"/>
      <c r="P5" s="34"/>
      <c r="Q5" s="31"/>
      <c r="R5" s="31"/>
      <c r="S5" s="34"/>
      <c r="T5" s="45"/>
      <c r="V5" s="55" t="s">
        <v>7</v>
      </c>
      <c r="W5" s="55"/>
      <c r="X5" s="55"/>
      <c r="Y5" s="55"/>
      <c r="Z5" s="3"/>
    </row>
    <row r="6" spans="2:33" ht="50.1" customHeight="1" x14ac:dyDescent="0.25">
      <c r="B6" s="35">
        <v>8</v>
      </c>
      <c r="C6" s="29"/>
      <c r="D6" s="31"/>
      <c r="E6" s="31"/>
      <c r="F6" s="34"/>
      <c r="G6" s="34"/>
      <c r="H6" s="31"/>
      <c r="I6" s="31"/>
      <c r="J6" s="29">
        <v>3</v>
      </c>
      <c r="K6" s="36"/>
      <c r="M6" s="43"/>
      <c r="N6" s="34"/>
      <c r="O6" s="31"/>
      <c r="P6" s="31"/>
      <c r="Q6" s="34"/>
      <c r="R6" s="34"/>
      <c r="S6" s="31"/>
      <c r="T6" s="40"/>
    </row>
    <row r="7" spans="2:33" ht="50.1" customHeight="1" x14ac:dyDescent="0.25">
      <c r="B7" s="35"/>
      <c r="C7" s="29"/>
      <c r="D7" s="31"/>
      <c r="E7" s="31"/>
      <c r="F7" s="34"/>
      <c r="G7" s="34"/>
      <c r="H7" s="31"/>
      <c r="I7" s="31"/>
      <c r="J7" s="29"/>
      <c r="K7" s="36"/>
      <c r="M7" s="43"/>
      <c r="N7" s="34"/>
      <c r="O7" s="31"/>
      <c r="P7" s="31"/>
      <c r="Q7" s="34"/>
      <c r="R7" s="34"/>
      <c r="S7" s="31"/>
      <c r="T7" s="40"/>
      <c r="V7" s="52" t="s">
        <v>5</v>
      </c>
      <c r="W7" s="52"/>
      <c r="X7" s="52"/>
      <c r="Y7" s="52"/>
      <c r="Z7" s="9"/>
    </row>
    <row r="8" spans="2:33" ht="59.25" customHeight="1" x14ac:dyDescent="0.25">
      <c r="B8" s="33"/>
      <c r="C8" s="31"/>
      <c r="D8" s="34"/>
      <c r="E8" s="34"/>
      <c r="F8" s="31" t="s">
        <v>0</v>
      </c>
      <c r="G8" s="31"/>
      <c r="H8" s="34"/>
      <c r="I8" s="34"/>
      <c r="J8" s="31"/>
      <c r="K8" s="40"/>
      <c r="M8" s="33"/>
      <c r="N8" s="31"/>
      <c r="O8" s="34"/>
      <c r="P8" s="34"/>
      <c r="Q8" s="31"/>
      <c r="R8" s="31"/>
      <c r="S8" s="34"/>
      <c r="T8" s="45"/>
      <c r="V8" s="56"/>
      <c r="W8" s="56"/>
      <c r="X8" s="56"/>
      <c r="Y8" s="56"/>
      <c r="Z8" s="2"/>
      <c r="AA8" s="48" t="s">
        <v>8</v>
      </c>
      <c r="AB8" s="48"/>
      <c r="AC8" s="48"/>
      <c r="AD8" s="48"/>
      <c r="AE8" s="48"/>
      <c r="AF8" s="48"/>
      <c r="AG8" s="48"/>
    </row>
    <row r="9" spans="2:33" ht="50.1" customHeight="1" x14ac:dyDescent="0.25">
      <c r="B9" s="33"/>
      <c r="C9" s="31"/>
      <c r="D9" s="34"/>
      <c r="E9" s="34"/>
      <c r="F9" s="31"/>
      <c r="G9" s="31"/>
      <c r="H9" s="34"/>
      <c r="I9" s="34"/>
      <c r="J9" s="31"/>
      <c r="K9" s="40"/>
      <c r="M9" s="33"/>
      <c r="N9" s="31"/>
      <c r="O9" s="34"/>
      <c r="P9" s="34"/>
      <c r="Q9" s="31"/>
      <c r="R9" s="31"/>
      <c r="S9" s="34"/>
      <c r="T9" s="45"/>
      <c r="AA9" s="48"/>
      <c r="AB9" s="48"/>
      <c r="AC9" s="48"/>
      <c r="AD9" s="48"/>
      <c r="AE9" s="48"/>
      <c r="AF9" s="48"/>
      <c r="AG9" s="48"/>
    </row>
    <row r="10" spans="2:33" ht="50.1" customHeight="1" x14ac:dyDescent="0.25">
      <c r="B10" s="35">
        <v>7</v>
      </c>
      <c r="C10" s="29"/>
      <c r="D10" s="31"/>
      <c r="E10" s="31"/>
      <c r="F10" s="34"/>
      <c r="G10" s="34"/>
      <c r="H10" s="31"/>
      <c r="I10" s="31"/>
      <c r="J10" s="29">
        <v>4</v>
      </c>
      <c r="K10" s="36"/>
      <c r="M10" s="43"/>
      <c r="N10" s="34"/>
      <c r="O10" s="31"/>
      <c r="P10" s="31"/>
      <c r="Q10" s="34"/>
      <c r="R10" s="34"/>
      <c r="S10" s="31"/>
      <c r="T10" s="40"/>
      <c r="V10" s="53" t="s">
        <v>4</v>
      </c>
      <c r="W10" s="53"/>
      <c r="X10" s="53"/>
      <c r="Y10" s="53"/>
      <c r="Z10" s="8"/>
      <c r="AA10" s="5"/>
      <c r="AB10" s="5"/>
      <c r="AC10" s="5"/>
      <c r="AD10" s="5"/>
      <c r="AE10" s="5"/>
      <c r="AF10" s="5"/>
      <c r="AG10" s="5"/>
    </row>
    <row r="11" spans="2:33" ht="50.1" customHeight="1" x14ac:dyDescent="0.25">
      <c r="B11" s="35"/>
      <c r="C11" s="29"/>
      <c r="D11" s="31"/>
      <c r="E11" s="31"/>
      <c r="F11" s="34"/>
      <c r="G11" s="34"/>
      <c r="H11" s="31"/>
      <c r="I11" s="31"/>
      <c r="J11" s="29"/>
      <c r="K11" s="36"/>
      <c r="M11" s="44"/>
      <c r="N11" s="42"/>
      <c r="O11" s="38"/>
      <c r="P11" s="38"/>
      <c r="Q11" s="42"/>
      <c r="R11" s="42"/>
      <c r="S11" s="38"/>
      <c r="T11" s="41"/>
      <c r="V11" s="49" t="s">
        <v>9</v>
      </c>
      <c r="W11" s="49"/>
      <c r="X11" s="49"/>
      <c r="Y11" s="49"/>
      <c r="Z11" s="6"/>
      <c r="AA11" s="48" t="s">
        <v>10</v>
      </c>
      <c r="AB11" s="48"/>
      <c r="AC11" s="48"/>
      <c r="AD11" s="48"/>
      <c r="AE11" s="48"/>
      <c r="AF11" s="48"/>
      <c r="AG11" s="48"/>
    </row>
    <row r="12" spans="2:33" ht="76.5" customHeight="1" x14ac:dyDescent="0.25">
      <c r="B12" s="33"/>
      <c r="C12" s="31"/>
      <c r="D12" s="29">
        <v>6</v>
      </c>
      <c r="E12" s="29"/>
      <c r="F12" s="31"/>
      <c r="G12" s="31"/>
      <c r="H12" s="29">
        <v>5</v>
      </c>
      <c r="I12" s="29"/>
      <c r="J12" s="31"/>
      <c r="K12" s="40"/>
      <c r="AA12" s="48"/>
      <c r="AB12" s="48"/>
      <c r="AC12" s="48"/>
      <c r="AD12" s="48"/>
      <c r="AE12" s="48"/>
      <c r="AF12" s="48"/>
      <c r="AG12" s="48"/>
    </row>
    <row r="13" spans="2:33" ht="29.25" customHeight="1" x14ac:dyDescent="0.25">
      <c r="B13" s="37"/>
      <c r="C13" s="38"/>
      <c r="D13" s="39"/>
      <c r="E13" s="39"/>
      <c r="F13" s="38"/>
      <c r="G13" s="38"/>
      <c r="H13" s="39"/>
      <c r="I13" s="39"/>
      <c r="J13" s="38"/>
      <c r="K13" s="41"/>
      <c r="AA13" s="48"/>
      <c r="AB13" s="48"/>
      <c r="AC13" s="48"/>
      <c r="AD13" s="48"/>
      <c r="AE13" s="48"/>
      <c r="AF13" s="48"/>
      <c r="AG13" s="48"/>
    </row>
    <row r="19" spans="32:32" ht="50.1" customHeight="1" x14ac:dyDescent="0.25">
      <c r="AF19" s="7"/>
    </row>
  </sheetData>
  <mergeCells count="51">
    <mergeCell ref="AA8:AG9"/>
    <mergeCell ref="V11:Y11"/>
    <mergeCell ref="AA11:AG13"/>
    <mergeCell ref="B2:K2"/>
    <mergeCell ref="M2:T2"/>
    <mergeCell ref="V7:Y7"/>
    <mergeCell ref="V10:Y10"/>
    <mergeCell ref="V4:Y4"/>
    <mergeCell ref="V5:Y5"/>
    <mergeCell ref="V8:Y8"/>
    <mergeCell ref="M8:N9"/>
    <mergeCell ref="S6:T7"/>
    <mergeCell ref="Q6:R7"/>
    <mergeCell ref="O6:P7"/>
    <mergeCell ref="M6:N7"/>
    <mergeCell ref="S4:T5"/>
    <mergeCell ref="Q4:R5"/>
    <mergeCell ref="O4:P5"/>
    <mergeCell ref="M4:N5"/>
    <mergeCell ref="J8:K9"/>
    <mergeCell ref="J6:K7"/>
    <mergeCell ref="J4:K5"/>
    <mergeCell ref="S10:T11"/>
    <mergeCell ref="Q10:R11"/>
    <mergeCell ref="O10:P11"/>
    <mergeCell ref="M10:N11"/>
    <mergeCell ref="S8:T9"/>
    <mergeCell ref="Q8:R9"/>
    <mergeCell ref="O8:P9"/>
    <mergeCell ref="B12:C13"/>
    <mergeCell ref="D12:E13"/>
    <mergeCell ref="F12:G13"/>
    <mergeCell ref="H12:I13"/>
    <mergeCell ref="J12:K13"/>
    <mergeCell ref="J10:K11"/>
    <mergeCell ref="H6:I7"/>
    <mergeCell ref="F6:G7"/>
    <mergeCell ref="D6:E7"/>
    <mergeCell ref="B6:C7"/>
    <mergeCell ref="H4:I5"/>
    <mergeCell ref="F4:G5"/>
    <mergeCell ref="D4:E5"/>
    <mergeCell ref="B4:C5"/>
    <mergeCell ref="H10:I11"/>
    <mergeCell ref="F10:G11"/>
    <mergeCell ref="D10:E11"/>
    <mergeCell ref="B10:C11"/>
    <mergeCell ref="H8:I9"/>
    <mergeCell ref="F8:G9"/>
    <mergeCell ref="D8:E9"/>
    <mergeCell ref="B8:C9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230C4-DC54-435B-B3D7-BFE78506B025}">
  <sheetPr codeName="Hoja2"/>
  <dimension ref="B2:BS92"/>
  <sheetViews>
    <sheetView tabSelected="1" topLeftCell="B1" zoomScale="55" zoomScaleNormal="55" zoomScalePageLayoutView="85" workbookViewId="0">
      <selection activeCell="BN12" sqref="BN12"/>
    </sheetView>
  </sheetViews>
  <sheetFormatPr baseColWidth="10" defaultRowHeight="12" x14ac:dyDescent="0.25"/>
  <cols>
    <col min="1" max="2" width="11.42578125" style="10"/>
    <col min="3" max="17" width="3.140625" style="10" customWidth="1"/>
    <col min="18" max="18" width="14.5703125" style="10" customWidth="1"/>
    <col min="19" max="19" width="14" style="10" customWidth="1"/>
    <col min="20" max="49" width="3.140625" style="10" customWidth="1"/>
    <col min="50" max="50" width="14.5703125" style="10" customWidth="1"/>
    <col min="51" max="51" width="13.42578125" style="10" customWidth="1"/>
    <col min="52" max="55" width="5.28515625" style="10" customWidth="1"/>
    <col min="56" max="56" width="5.28515625" style="14" customWidth="1"/>
    <col min="57" max="60" width="5.28515625" style="10" customWidth="1"/>
    <col min="61" max="61" width="3.140625" style="10" customWidth="1"/>
    <col min="62" max="70" width="5.28515625" style="10" customWidth="1"/>
    <col min="71" max="16384" width="11.42578125" style="10"/>
  </cols>
  <sheetData>
    <row r="2" spans="2:71" ht="30" customHeight="1" x14ac:dyDescent="0.25">
      <c r="B2" s="115" t="s">
        <v>32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</row>
    <row r="3" spans="2:71" ht="15" customHeight="1" x14ac:dyDescent="0.25">
      <c r="B3" s="108" t="s">
        <v>11</v>
      </c>
      <c r="C3" s="125" t="s">
        <v>12</v>
      </c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13" t="s">
        <v>17</v>
      </c>
      <c r="S3" s="109" t="s">
        <v>18</v>
      </c>
      <c r="T3" s="126" t="s">
        <v>19</v>
      </c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7" t="s">
        <v>20</v>
      </c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13" t="s">
        <v>17</v>
      </c>
      <c r="AY3" s="109" t="s">
        <v>18</v>
      </c>
      <c r="AZ3" s="116" t="s">
        <v>21</v>
      </c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4" t="s">
        <v>29</v>
      </c>
    </row>
    <row r="4" spans="2:71" ht="16.5" customHeight="1" x14ac:dyDescent="0.25">
      <c r="B4" s="108"/>
      <c r="C4" s="11">
        <v>0</v>
      </c>
      <c r="D4" s="11">
        <v>1</v>
      </c>
      <c r="E4" s="11">
        <v>2</v>
      </c>
      <c r="F4" s="11">
        <v>3</v>
      </c>
      <c r="G4" s="11">
        <v>4</v>
      </c>
      <c r="H4" s="11">
        <v>5</v>
      </c>
      <c r="I4" s="11">
        <v>6</v>
      </c>
      <c r="J4" s="11">
        <v>7</v>
      </c>
      <c r="K4" s="11">
        <v>8</v>
      </c>
      <c r="L4" s="11">
        <v>9</v>
      </c>
      <c r="M4" s="11" t="s">
        <v>13</v>
      </c>
      <c r="N4" s="11" t="s">
        <v>14</v>
      </c>
      <c r="O4" s="11" t="s">
        <v>15</v>
      </c>
      <c r="P4" s="11" t="s">
        <v>16</v>
      </c>
      <c r="Q4" s="11" t="s">
        <v>31</v>
      </c>
      <c r="R4" s="113"/>
      <c r="S4" s="109"/>
      <c r="T4" s="12">
        <v>0</v>
      </c>
      <c r="U4" s="12">
        <v>1</v>
      </c>
      <c r="V4" s="12">
        <v>2</v>
      </c>
      <c r="W4" s="12">
        <v>3</v>
      </c>
      <c r="X4" s="12">
        <v>4</v>
      </c>
      <c r="Y4" s="12">
        <v>5</v>
      </c>
      <c r="Z4" s="12">
        <v>6</v>
      </c>
      <c r="AA4" s="12">
        <v>7</v>
      </c>
      <c r="AB4" s="12">
        <v>8</v>
      </c>
      <c r="AC4" s="12">
        <v>9</v>
      </c>
      <c r="AD4" s="12" t="s">
        <v>13</v>
      </c>
      <c r="AE4" s="12" t="s">
        <v>14</v>
      </c>
      <c r="AF4" s="12" t="s">
        <v>15</v>
      </c>
      <c r="AG4" s="12" t="s">
        <v>16</v>
      </c>
      <c r="AH4" s="12" t="s">
        <v>31</v>
      </c>
      <c r="AI4" s="13">
        <v>0</v>
      </c>
      <c r="AJ4" s="13">
        <v>1</v>
      </c>
      <c r="AK4" s="13">
        <v>2</v>
      </c>
      <c r="AL4" s="13">
        <v>3</v>
      </c>
      <c r="AM4" s="13">
        <v>4</v>
      </c>
      <c r="AN4" s="13">
        <v>5</v>
      </c>
      <c r="AO4" s="13">
        <v>6</v>
      </c>
      <c r="AP4" s="13">
        <v>7</v>
      </c>
      <c r="AQ4" s="13">
        <v>8</v>
      </c>
      <c r="AR4" s="13">
        <v>9</v>
      </c>
      <c r="AS4" s="13" t="s">
        <v>13</v>
      </c>
      <c r="AT4" s="13" t="s">
        <v>14</v>
      </c>
      <c r="AU4" s="13" t="s">
        <v>15</v>
      </c>
      <c r="AV4" s="13" t="s">
        <v>16</v>
      </c>
      <c r="AW4" s="13" t="s">
        <v>31</v>
      </c>
      <c r="AX4" s="113"/>
      <c r="AY4" s="109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14"/>
    </row>
    <row r="5" spans="2:71" x14ac:dyDescent="0.25">
      <c r="B5" s="10">
        <v>1</v>
      </c>
      <c r="C5" s="26">
        <v>4</v>
      </c>
      <c r="D5" s="26">
        <v>7</v>
      </c>
      <c r="E5" s="26">
        <v>4</v>
      </c>
      <c r="F5" s="26">
        <v>2</v>
      </c>
      <c r="G5" s="24">
        <v>7</v>
      </c>
      <c r="H5" s="24">
        <v>2</v>
      </c>
      <c r="I5" s="24">
        <v>5</v>
      </c>
      <c r="J5" s="23">
        <v>8</v>
      </c>
      <c r="K5" s="129">
        <v>7</v>
      </c>
      <c r="L5" s="129">
        <v>7</v>
      </c>
      <c r="M5" s="129">
        <v>4</v>
      </c>
      <c r="N5" s="137">
        <v>1</v>
      </c>
      <c r="O5" s="137">
        <v>2</v>
      </c>
      <c r="P5" s="137">
        <v>5</v>
      </c>
      <c r="Q5" s="137">
        <v>4</v>
      </c>
      <c r="R5" s="10">
        <v>8</v>
      </c>
      <c r="S5" s="158">
        <f>IF(MAX($R$5:$R$16)-MIN($R$5:$R$16)&lt;&gt;0,100*(R5-MIN($R$5:$R$16))/(MAX($R$5:$R$16)-MIN($R$5:$R$16)),0)</f>
        <v>62.5</v>
      </c>
      <c r="T5" s="128">
        <v>4</v>
      </c>
      <c r="U5" s="128">
        <v>7</v>
      </c>
      <c r="V5" s="128">
        <v>4</v>
      </c>
      <c r="W5" s="128">
        <v>2</v>
      </c>
      <c r="X5" s="128">
        <v>7</v>
      </c>
      <c r="Y5" s="128">
        <v>2</v>
      </c>
      <c r="Z5" s="128">
        <v>5</v>
      </c>
      <c r="AA5" s="128">
        <v>8</v>
      </c>
      <c r="AB5" s="128">
        <v>7</v>
      </c>
      <c r="AC5" s="128">
        <v>7</v>
      </c>
      <c r="AD5" s="128">
        <v>4</v>
      </c>
      <c r="AE5" s="21">
        <v>4</v>
      </c>
      <c r="AF5" s="21">
        <v>6</v>
      </c>
      <c r="AG5" s="21">
        <v>5</v>
      </c>
      <c r="AH5" s="21">
        <v>2</v>
      </c>
      <c r="AI5" s="26">
        <v>4</v>
      </c>
      <c r="AJ5" s="26">
        <v>7</v>
      </c>
      <c r="AK5" s="26">
        <v>4</v>
      </c>
      <c r="AL5" s="26">
        <v>2</v>
      </c>
      <c r="AM5" s="24">
        <v>7</v>
      </c>
      <c r="AN5" s="24">
        <v>2</v>
      </c>
      <c r="AO5" s="24">
        <v>5</v>
      </c>
      <c r="AP5" s="23">
        <v>8</v>
      </c>
      <c r="AQ5" s="129">
        <v>7</v>
      </c>
      <c r="AR5" s="129">
        <v>7</v>
      </c>
      <c r="AS5" s="141">
        <v>7</v>
      </c>
      <c r="AT5" s="129">
        <v>4</v>
      </c>
      <c r="AU5" s="144">
        <v>7</v>
      </c>
      <c r="AV5" s="129">
        <v>5</v>
      </c>
      <c r="AW5" s="129">
        <v>2</v>
      </c>
      <c r="AX5" s="10">
        <v>8</v>
      </c>
      <c r="AY5" s="158">
        <f>IF(MAX($AX$5:$AX$16)-MIN($AX$5:$AX$16)&lt;&gt;0,100*(AX5-MIN($AX$5:$AX$16))/(MAX($AX$5:$AX$16)-MIN($AX$5:$AX$16)),0)</f>
        <v>62.5</v>
      </c>
      <c r="BD5" s="10"/>
      <c r="BS5" s="20">
        <f>IF(SUM($AY$5:$AY$16)=0, 0, ROUNDDOWN((AY5/SUM($AY$5:$AY$16))*12, 0))</f>
        <v>1</v>
      </c>
    </row>
    <row r="6" spans="2:71" x14ac:dyDescent="0.25">
      <c r="B6" s="10">
        <v>2</v>
      </c>
      <c r="C6" s="26">
        <v>4</v>
      </c>
      <c r="D6" s="26">
        <v>5</v>
      </c>
      <c r="E6" s="26">
        <v>8</v>
      </c>
      <c r="F6" s="23">
        <v>3</v>
      </c>
      <c r="G6" s="129">
        <v>4</v>
      </c>
      <c r="H6" s="129">
        <v>5</v>
      </c>
      <c r="I6" s="129">
        <v>7</v>
      </c>
      <c r="J6" s="129">
        <v>8</v>
      </c>
      <c r="K6" s="129">
        <v>7</v>
      </c>
      <c r="L6" s="129">
        <v>3</v>
      </c>
      <c r="M6" s="129">
        <v>8</v>
      </c>
      <c r="N6" s="136">
        <v>4</v>
      </c>
      <c r="O6" s="136">
        <v>6</v>
      </c>
      <c r="P6" s="136">
        <v>5</v>
      </c>
      <c r="Q6" s="136">
        <v>2</v>
      </c>
      <c r="R6" s="10">
        <v>4</v>
      </c>
      <c r="S6" s="156">
        <f t="shared" ref="S6:S16" si="0">IF(MAX($R$5:$R$16)-MIN($R$5:$R$16)&lt;&gt;0,100*(R6-MIN($R$5:$R$16))/(MAX($R$5:$R$16)-MIN($R$5:$R$16)),0)</f>
        <v>12.5</v>
      </c>
      <c r="T6" s="128">
        <v>4</v>
      </c>
      <c r="U6" s="128">
        <v>5</v>
      </c>
      <c r="V6" s="128">
        <v>8</v>
      </c>
      <c r="W6" s="128">
        <v>3</v>
      </c>
      <c r="X6" s="128">
        <v>4</v>
      </c>
      <c r="Y6" s="128">
        <v>5</v>
      </c>
      <c r="Z6" s="128">
        <v>7</v>
      </c>
      <c r="AA6" s="128">
        <v>8</v>
      </c>
      <c r="AB6" s="128">
        <v>7</v>
      </c>
      <c r="AC6" s="128">
        <v>3</v>
      </c>
      <c r="AD6" s="128">
        <v>8</v>
      </c>
      <c r="AE6" s="22">
        <v>1</v>
      </c>
      <c r="AF6" s="22">
        <v>2</v>
      </c>
      <c r="AG6" s="22">
        <v>5</v>
      </c>
      <c r="AH6" s="22">
        <v>4</v>
      </c>
      <c r="AI6" s="26">
        <v>4</v>
      </c>
      <c r="AJ6" s="26">
        <v>5</v>
      </c>
      <c r="AK6" s="26">
        <v>8</v>
      </c>
      <c r="AL6" s="23">
        <v>3</v>
      </c>
      <c r="AM6" s="129">
        <v>4</v>
      </c>
      <c r="AN6" s="129">
        <v>5</v>
      </c>
      <c r="AO6" s="140">
        <v>7</v>
      </c>
      <c r="AP6" s="129">
        <v>8</v>
      </c>
      <c r="AQ6" s="140">
        <v>4</v>
      </c>
      <c r="AR6" s="129">
        <v>3</v>
      </c>
      <c r="AS6" s="138">
        <v>2</v>
      </c>
      <c r="AT6" s="143">
        <v>3</v>
      </c>
      <c r="AU6" s="129">
        <v>2</v>
      </c>
      <c r="AV6" s="129">
        <v>5</v>
      </c>
      <c r="AW6" s="129">
        <v>4</v>
      </c>
      <c r="AX6" s="10">
        <v>4</v>
      </c>
      <c r="AY6" s="156">
        <f t="shared" ref="AY6:AY16" si="1">IF(MAX($AX$5:$AX$16)-MIN($AX$5:$AX$16)&lt;&gt;0,100*(AX6-MIN($AX$5:$AX$16))/(MAX($AX$5:$AX$16)-MIN($AX$5:$AX$16)),0)</f>
        <v>12.5</v>
      </c>
      <c r="BD6" s="10"/>
      <c r="BS6" s="17">
        <f t="shared" ref="BS6:BS16" si="2">IF(SUM($AY$5:$AY$16)=0, 0, ROUNDDOWN((AY6/SUM($AY$5:$AY$16))*12, 0))</f>
        <v>0</v>
      </c>
    </row>
    <row r="7" spans="2:71" x14ac:dyDescent="0.25">
      <c r="B7" s="10">
        <v>3</v>
      </c>
      <c r="C7" s="26">
        <v>4</v>
      </c>
      <c r="D7" s="26">
        <v>5</v>
      </c>
      <c r="E7" s="27">
        <v>8</v>
      </c>
      <c r="F7" s="129">
        <v>1</v>
      </c>
      <c r="G7" s="129">
        <v>6</v>
      </c>
      <c r="H7" s="129">
        <v>6</v>
      </c>
      <c r="I7" s="129">
        <v>5</v>
      </c>
      <c r="J7" s="129">
        <v>4</v>
      </c>
      <c r="K7" s="129">
        <v>1</v>
      </c>
      <c r="L7" s="129">
        <v>6</v>
      </c>
      <c r="M7" s="129">
        <v>5</v>
      </c>
      <c r="N7" s="137">
        <v>2</v>
      </c>
      <c r="O7" s="137">
        <v>4</v>
      </c>
      <c r="P7" s="137">
        <v>7</v>
      </c>
      <c r="Q7" s="137">
        <v>7</v>
      </c>
      <c r="R7" s="10">
        <v>3</v>
      </c>
      <c r="S7" s="17">
        <f t="shared" si="0"/>
        <v>0</v>
      </c>
      <c r="T7" s="128">
        <v>4</v>
      </c>
      <c r="U7" s="128">
        <v>5</v>
      </c>
      <c r="V7" s="128">
        <v>8</v>
      </c>
      <c r="W7" s="128">
        <v>1</v>
      </c>
      <c r="X7" s="128">
        <v>6</v>
      </c>
      <c r="Y7" s="128">
        <v>6</v>
      </c>
      <c r="Z7" s="128">
        <v>5</v>
      </c>
      <c r="AA7" s="128">
        <v>4</v>
      </c>
      <c r="AB7" s="128">
        <v>1</v>
      </c>
      <c r="AC7" s="128">
        <v>6</v>
      </c>
      <c r="AD7" s="128">
        <v>5</v>
      </c>
      <c r="AE7" s="21">
        <v>4</v>
      </c>
      <c r="AF7" s="21">
        <v>3</v>
      </c>
      <c r="AG7" s="21">
        <v>8</v>
      </c>
      <c r="AH7" s="21">
        <v>4</v>
      </c>
      <c r="AI7" s="26">
        <v>4</v>
      </c>
      <c r="AJ7" s="26">
        <v>5</v>
      </c>
      <c r="AK7" s="27">
        <v>8</v>
      </c>
      <c r="AL7" s="129">
        <v>1</v>
      </c>
      <c r="AM7" s="129">
        <v>6</v>
      </c>
      <c r="AN7" s="129">
        <v>6</v>
      </c>
      <c r="AO7" s="142">
        <v>7</v>
      </c>
      <c r="AP7" s="129">
        <v>4</v>
      </c>
      <c r="AQ7" s="141">
        <v>1</v>
      </c>
      <c r="AR7" s="129">
        <v>6</v>
      </c>
      <c r="AS7" s="129">
        <v>5</v>
      </c>
      <c r="AT7" s="129">
        <v>4</v>
      </c>
      <c r="AU7" s="129">
        <v>3</v>
      </c>
      <c r="AV7" s="129">
        <v>8</v>
      </c>
      <c r="AW7" s="129">
        <v>4</v>
      </c>
      <c r="AX7" s="10">
        <v>3</v>
      </c>
      <c r="AY7" s="17">
        <f t="shared" si="1"/>
        <v>0</v>
      </c>
      <c r="AZ7" s="80" t="s">
        <v>26</v>
      </c>
      <c r="BA7" s="81" t="s">
        <v>26</v>
      </c>
      <c r="BB7" s="82" t="s">
        <v>26</v>
      </c>
      <c r="BC7" s="83"/>
      <c r="BE7" s="124">
        <v>0</v>
      </c>
      <c r="BF7" s="166">
        <v>7</v>
      </c>
      <c r="BG7" s="173">
        <v>10</v>
      </c>
      <c r="BH7" s="100"/>
      <c r="BS7" s="17">
        <f t="shared" si="2"/>
        <v>0</v>
      </c>
    </row>
    <row r="8" spans="2:71" x14ac:dyDescent="0.25">
      <c r="B8" s="10">
        <v>4</v>
      </c>
      <c r="C8" s="26">
        <v>5</v>
      </c>
      <c r="D8" s="26">
        <v>4</v>
      </c>
      <c r="E8" s="26">
        <v>1</v>
      </c>
      <c r="F8" s="26">
        <v>7</v>
      </c>
      <c r="G8" s="27">
        <v>2</v>
      </c>
      <c r="H8" s="129">
        <v>8</v>
      </c>
      <c r="I8" s="129">
        <v>8</v>
      </c>
      <c r="J8" s="129">
        <v>1</v>
      </c>
      <c r="K8" s="129">
        <v>5</v>
      </c>
      <c r="L8" s="129">
        <v>8</v>
      </c>
      <c r="M8" s="129">
        <v>8</v>
      </c>
      <c r="N8" s="136">
        <v>4</v>
      </c>
      <c r="O8" s="136">
        <v>3</v>
      </c>
      <c r="P8" s="136">
        <v>8</v>
      </c>
      <c r="Q8" s="136">
        <v>4</v>
      </c>
      <c r="R8" s="10">
        <v>5</v>
      </c>
      <c r="S8" s="153">
        <f t="shared" si="0"/>
        <v>25</v>
      </c>
      <c r="T8" s="128">
        <v>5</v>
      </c>
      <c r="U8" s="128">
        <v>4</v>
      </c>
      <c r="V8" s="128">
        <v>1</v>
      </c>
      <c r="W8" s="128">
        <v>7</v>
      </c>
      <c r="X8" s="128">
        <v>2</v>
      </c>
      <c r="Y8" s="128">
        <v>8</v>
      </c>
      <c r="Z8" s="128">
        <v>8</v>
      </c>
      <c r="AA8" s="128">
        <v>1</v>
      </c>
      <c r="AB8" s="128">
        <v>5</v>
      </c>
      <c r="AC8" s="128">
        <v>8</v>
      </c>
      <c r="AD8" s="128">
        <v>8</v>
      </c>
      <c r="AE8" s="22">
        <v>2</v>
      </c>
      <c r="AF8" s="22">
        <v>4</v>
      </c>
      <c r="AG8" s="22">
        <v>7</v>
      </c>
      <c r="AH8" s="22">
        <v>7</v>
      </c>
      <c r="AI8" s="26">
        <v>5</v>
      </c>
      <c r="AJ8" s="26">
        <v>4</v>
      </c>
      <c r="AK8" s="26">
        <v>1</v>
      </c>
      <c r="AL8" s="26">
        <v>7</v>
      </c>
      <c r="AM8" s="27">
        <v>2</v>
      </c>
      <c r="AN8" s="129">
        <v>8</v>
      </c>
      <c r="AO8" s="138">
        <v>7</v>
      </c>
      <c r="AP8" s="129">
        <v>1</v>
      </c>
      <c r="AQ8" s="139">
        <v>2</v>
      </c>
      <c r="AR8" s="129">
        <v>8</v>
      </c>
      <c r="AS8" s="129">
        <v>8</v>
      </c>
      <c r="AT8" s="129">
        <v>2</v>
      </c>
      <c r="AU8" s="129">
        <v>4</v>
      </c>
      <c r="AV8" s="129">
        <v>7</v>
      </c>
      <c r="AW8" s="129">
        <v>7</v>
      </c>
      <c r="AX8" s="10">
        <v>5</v>
      </c>
      <c r="AY8" s="153">
        <f t="shared" si="1"/>
        <v>25</v>
      </c>
      <c r="AZ8" s="74"/>
      <c r="BA8" s="65"/>
      <c r="BB8" s="63"/>
      <c r="BC8" s="75"/>
      <c r="BE8" s="147"/>
      <c r="BF8" s="99"/>
      <c r="BG8" s="148"/>
      <c r="BH8" s="101"/>
      <c r="BS8" s="17">
        <f t="shared" si="2"/>
        <v>0</v>
      </c>
    </row>
    <row r="9" spans="2:71" x14ac:dyDescent="0.25">
      <c r="B9" s="10">
        <v>5</v>
      </c>
      <c r="C9" s="26">
        <v>5</v>
      </c>
      <c r="D9" s="26">
        <v>4</v>
      </c>
      <c r="E9" s="26">
        <v>1</v>
      </c>
      <c r="F9" s="26">
        <v>7</v>
      </c>
      <c r="G9" s="26">
        <v>4</v>
      </c>
      <c r="H9" s="26">
        <v>2</v>
      </c>
      <c r="I9" s="26">
        <v>8</v>
      </c>
      <c r="J9" s="24">
        <v>5</v>
      </c>
      <c r="K9" s="24">
        <v>8</v>
      </c>
      <c r="L9" s="23">
        <v>3</v>
      </c>
      <c r="M9" s="129">
        <v>3</v>
      </c>
      <c r="N9" s="137">
        <v>2</v>
      </c>
      <c r="O9" s="137">
        <v>4</v>
      </c>
      <c r="P9" s="137">
        <v>6</v>
      </c>
      <c r="Q9" s="137">
        <v>8</v>
      </c>
      <c r="R9" s="10">
        <v>10</v>
      </c>
      <c r="S9" s="159">
        <f t="shared" si="0"/>
        <v>87.5</v>
      </c>
      <c r="T9" s="128">
        <v>5</v>
      </c>
      <c r="U9" s="128">
        <v>4</v>
      </c>
      <c r="V9" s="128">
        <v>1</v>
      </c>
      <c r="W9" s="128">
        <v>7</v>
      </c>
      <c r="X9" s="128">
        <v>4</v>
      </c>
      <c r="Y9" s="128">
        <v>2</v>
      </c>
      <c r="Z9" s="128">
        <v>8</v>
      </c>
      <c r="AA9" s="128">
        <v>5</v>
      </c>
      <c r="AB9" s="128">
        <v>8</v>
      </c>
      <c r="AC9" s="128">
        <v>3</v>
      </c>
      <c r="AD9" s="128">
        <v>3</v>
      </c>
      <c r="AE9" s="21">
        <v>6</v>
      </c>
      <c r="AF9" s="21">
        <v>7</v>
      </c>
      <c r="AG9" s="21">
        <v>6</v>
      </c>
      <c r="AH9" s="21">
        <v>1</v>
      </c>
      <c r="AI9" s="26">
        <v>5</v>
      </c>
      <c r="AJ9" s="26">
        <v>4</v>
      </c>
      <c r="AK9" s="26">
        <v>1</v>
      </c>
      <c r="AL9" s="26">
        <v>7</v>
      </c>
      <c r="AM9" s="26">
        <v>4</v>
      </c>
      <c r="AN9" s="26">
        <v>2</v>
      </c>
      <c r="AO9" s="26">
        <v>8</v>
      </c>
      <c r="AP9" s="26">
        <v>5</v>
      </c>
      <c r="AQ9" s="26">
        <v>8</v>
      </c>
      <c r="AR9" s="24">
        <v>3</v>
      </c>
      <c r="AS9" s="23">
        <v>5</v>
      </c>
      <c r="AT9" s="129">
        <v>6</v>
      </c>
      <c r="AU9" s="140">
        <v>7</v>
      </c>
      <c r="AV9" s="129">
        <v>6</v>
      </c>
      <c r="AW9" s="141">
        <v>2</v>
      </c>
      <c r="AX9" s="10">
        <v>11</v>
      </c>
      <c r="AY9" s="20">
        <f t="shared" si="1"/>
        <v>100</v>
      </c>
      <c r="AZ9" s="61" t="s">
        <v>26</v>
      </c>
      <c r="BA9" s="63"/>
      <c r="BB9" s="65" t="s">
        <v>26</v>
      </c>
      <c r="BC9" s="67" t="s">
        <v>26</v>
      </c>
      <c r="BE9" s="167">
        <v>9</v>
      </c>
      <c r="BF9" s="148"/>
      <c r="BG9" s="165">
        <v>3</v>
      </c>
      <c r="BH9" s="162">
        <v>6</v>
      </c>
      <c r="BS9" s="20">
        <f t="shared" si="2"/>
        <v>1</v>
      </c>
    </row>
    <row r="10" spans="2:71" x14ac:dyDescent="0.25">
      <c r="B10" s="10">
        <v>6</v>
      </c>
      <c r="C10" s="26">
        <v>5</v>
      </c>
      <c r="D10" s="26">
        <v>4</v>
      </c>
      <c r="E10" s="26">
        <v>1</v>
      </c>
      <c r="F10" s="26">
        <v>7</v>
      </c>
      <c r="G10" s="26">
        <v>4</v>
      </c>
      <c r="H10" s="26">
        <v>2</v>
      </c>
      <c r="I10" s="27">
        <v>8</v>
      </c>
      <c r="J10" s="129">
        <v>1</v>
      </c>
      <c r="K10" s="129">
        <v>2</v>
      </c>
      <c r="L10" s="129">
        <v>1</v>
      </c>
      <c r="M10" s="129">
        <v>6</v>
      </c>
      <c r="N10" s="136">
        <v>6</v>
      </c>
      <c r="O10" s="136">
        <v>7</v>
      </c>
      <c r="P10" s="136">
        <v>6</v>
      </c>
      <c r="Q10" s="136">
        <v>1</v>
      </c>
      <c r="R10" s="10">
        <v>7</v>
      </c>
      <c r="S10" s="25">
        <f>IF(MAX($R$5:$R$16)-MIN($R$5:$R$16)&lt;&gt;0,100*(R10-MIN($R$5:$R$16))/(MAX($R$5:$R$16)-MIN($R$5:$R$16)),0)</f>
        <v>50</v>
      </c>
      <c r="T10" s="128">
        <v>5</v>
      </c>
      <c r="U10" s="128">
        <v>4</v>
      </c>
      <c r="V10" s="128">
        <v>1</v>
      </c>
      <c r="W10" s="128">
        <v>7</v>
      </c>
      <c r="X10" s="128">
        <v>4</v>
      </c>
      <c r="Y10" s="128">
        <v>2</v>
      </c>
      <c r="Z10" s="128">
        <v>8</v>
      </c>
      <c r="AA10" s="128">
        <v>1</v>
      </c>
      <c r="AB10" s="128">
        <v>2</v>
      </c>
      <c r="AC10" s="128">
        <v>1</v>
      </c>
      <c r="AD10" s="128">
        <v>6</v>
      </c>
      <c r="AE10" s="22">
        <v>2</v>
      </c>
      <c r="AF10" s="22">
        <v>4</v>
      </c>
      <c r="AG10" s="22">
        <v>6</v>
      </c>
      <c r="AH10" s="22">
        <v>8</v>
      </c>
      <c r="AI10" s="26">
        <v>5</v>
      </c>
      <c r="AJ10" s="26">
        <v>4</v>
      </c>
      <c r="AK10" s="26">
        <v>1</v>
      </c>
      <c r="AL10" s="26">
        <v>7</v>
      </c>
      <c r="AM10" s="26">
        <v>4</v>
      </c>
      <c r="AN10" s="26">
        <v>2</v>
      </c>
      <c r="AO10" s="26">
        <v>8</v>
      </c>
      <c r="AP10" s="26">
        <v>5</v>
      </c>
      <c r="AQ10" s="27">
        <v>7</v>
      </c>
      <c r="AR10" s="143">
        <v>1</v>
      </c>
      <c r="AS10" s="129">
        <v>6</v>
      </c>
      <c r="AT10" s="129">
        <v>2</v>
      </c>
      <c r="AU10" s="129">
        <v>4</v>
      </c>
      <c r="AV10" s="129">
        <v>6</v>
      </c>
      <c r="AW10" s="138">
        <v>5</v>
      </c>
      <c r="AX10" s="10">
        <v>9</v>
      </c>
      <c r="AY10" s="154">
        <f t="shared" si="1"/>
        <v>75</v>
      </c>
      <c r="AZ10" s="61"/>
      <c r="BA10" s="63"/>
      <c r="BB10" s="65"/>
      <c r="BC10" s="67"/>
      <c r="BE10" s="102"/>
      <c r="BF10" s="148"/>
      <c r="BG10" s="99"/>
      <c r="BH10" s="149"/>
      <c r="BS10" s="20">
        <f t="shared" si="2"/>
        <v>1</v>
      </c>
    </row>
    <row r="11" spans="2:71" x14ac:dyDescent="0.25">
      <c r="B11" s="10">
        <v>7</v>
      </c>
      <c r="C11" s="26">
        <v>5</v>
      </c>
      <c r="D11" s="26">
        <v>4</v>
      </c>
      <c r="E11" s="26">
        <v>1</v>
      </c>
      <c r="F11" s="26">
        <v>7</v>
      </c>
      <c r="G11" s="26">
        <v>4</v>
      </c>
      <c r="H11" s="26">
        <v>2</v>
      </c>
      <c r="I11" s="26">
        <v>8</v>
      </c>
      <c r="J11" s="26">
        <v>5</v>
      </c>
      <c r="K11" s="26">
        <v>2</v>
      </c>
      <c r="L11" s="26">
        <v>7</v>
      </c>
      <c r="M11" s="23">
        <v>4</v>
      </c>
      <c r="N11" s="137">
        <v>5</v>
      </c>
      <c r="O11" s="137">
        <v>2</v>
      </c>
      <c r="P11" s="137">
        <v>6</v>
      </c>
      <c r="Q11" s="137">
        <v>6</v>
      </c>
      <c r="R11" s="10">
        <v>11</v>
      </c>
      <c r="S11" s="20">
        <f t="shared" si="0"/>
        <v>100</v>
      </c>
      <c r="T11" s="128">
        <v>5</v>
      </c>
      <c r="U11" s="128">
        <v>4</v>
      </c>
      <c r="V11" s="128">
        <v>1</v>
      </c>
      <c r="W11" s="128">
        <v>7</v>
      </c>
      <c r="X11" s="128">
        <v>4</v>
      </c>
      <c r="Y11" s="128">
        <v>2</v>
      </c>
      <c r="Z11" s="128">
        <v>8</v>
      </c>
      <c r="AA11" s="128">
        <v>5</v>
      </c>
      <c r="AB11" s="128">
        <v>2</v>
      </c>
      <c r="AC11" s="128">
        <v>7</v>
      </c>
      <c r="AD11" s="128">
        <v>4</v>
      </c>
      <c r="AE11" s="21">
        <v>3</v>
      </c>
      <c r="AF11" s="21">
        <v>4</v>
      </c>
      <c r="AG11" s="21">
        <v>8</v>
      </c>
      <c r="AH11" s="21">
        <v>8</v>
      </c>
      <c r="AI11" s="26">
        <v>5</v>
      </c>
      <c r="AJ11" s="26">
        <v>4</v>
      </c>
      <c r="AK11" s="26">
        <v>1</v>
      </c>
      <c r="AL11" s="26">
        <v>7</v>
      </c>
      <c r="AM11" s="26">
        <v>4</v>
      </c>
      <c r="AN11" s="26">
        <v>2</v>
      </c>
      <c r="AO11" s="26">
        <v>8</v>
      </c>
      <c r="AP11" s="26">
        <v>5</v>
      </c>
      <c r="AQ11" s="26">
        <v>2</v>
      </c>
      <c r="AR11" s="26">
        <v>7</v>
      </c>
      <c r="AS11" s="23">
        <v>4</v>
      </c>
      <c r="AT11" s="140">
        <v>6</v>
      </c>
      <c r="AU11" s="129">
        <v>4</v>
      </c>
      <c r="AV11" s="144">
        <v>2</v>
      </c>
      <c r="AW11" s="129">
        <v>8</v>
      </c>
      <c r="AX11" s="10">
        <v>11</v>
      </c>
      <c r="AY11" s="20">
        <f t="shared" si="1"/>
        <v>100</v>
      </c>
      <c r="AZ11" s="74" t="s">
        <v>26</v>
      </c>
      <c r="BA11" s="65" t="s">
        <v>26</v>
      </c>
      <c r="BB11" s="63" t="s">
        <v>26</v>
      </c>
      <c r="BC11" s="75" t="s">
        <v>26</v>
      </c>
      <c r="BE11" s="171">
        <v>4</v>
      </c>
      <c r="BF11" s="104">
        <v>1</v>
      </c>
      <c r="BG11" s="103">
        <v>8</v>
      </c>
      <c r="BH11" s="174">
        <v>11</v>
      </c>
      <c r="BS11" s="20">
        <f t="shared" si="2"/>
        <v>1</v>
      </c>
    </row>
    <row r="12" spans="2:71" x14ac:dyDescent="0.25">
      <c r="B12" s="10">
        <v>8</v>
      </c>
      <c r="C12" s="26">
        <v>5</v>
      </c>
      <c r="D12" s="26">
        <v>4</v>
      </c>
      <c r="E12" s="26">
        <v>1</v>
      </c>
      <c r="F12" s="26">
        <v>7</v>
      </c>
      <c r="G12" s="26">
        <v>4</v>
      </c>
      <c r="H12" s="26">
        <v>2</v>
      </c>
      <c r="I12" s="26">
        <v>8</v>
      </c>
      <c r="J12" s="26">
        <v>5</v>
      </c>
      <c r="K12" s="26">
        <v>2</v>
      </c>
      <c r="L12" s="27">
        <v>7</v>
      </c>
      <c r="M12" s="129">
        <v>7</v>
      </c>
      <c r="N12" s="136">
        <v>3</v>
      </c>
      <c r="O12" s="136">
        <v>4</v>
      </c>
      <c r="P12" s="136">
        <v>8</v>
      </c>
      <c r="Q12" s="136">
        <v>8</v>
      </c>
      <c r="R12" s="10">
        <v>10</v>
      </c>
      <c r="S12" s="159">
        <f t="shared" si="0"/>
        <v>87.5</v>
      </c>
      <c r="T12" s="128">
        <v>5</v>
      </c>
      <c r="U12" s="128">
        <v>4</v>
      </c>
      <c r="V12" s="128">
        <v>1</v>
      </c>
      <c r="W12" s="128">
        <v>7</v>
      </c>
      <c r="X12" s="128">
        <v>4</v>
      </c>
      <c r="Y12" s="128">
        <v>2</v>
      </c>
      <c r="Z12" s="128">
        <v>8</v>
      </c>
      <c r="AA12" s="128">
        <v>5</v>
      </c>
      <c r="AB12" s="128">
        <v>2</v>
      </c>
      <c r="AC12" s="128">
        <v>7</v>
      </c>
      <c r="AD12" s="128">
        <v>7</v>
      </c>
      <c r="AE12" s="22">
        <v>5</v>
      </c>
      <c r="AF12" s="22">
        <v>2</v>
      </c>
      <c r="AG12" s="22">
        <v>6</v>
      </c>
      <c r="AH12" s="22">
        <v>6</v>
      </c>
      <c r="AI12" s="26">
        <v>5</v>
      </c>
      <c r="AJ12" s="26">
        <v>4</v>
      </c>
      <c r="AK12" s="26">
        <v>1</v>
      </c>
      <c r="AL12" s="26">
        <v>7</v>
      </c>
      <c r="AM12" s="26">
        <v>4</v>
      </c>
      <c r="AN12" s="26">
        <v>2</v>
      </c>
      <c r="AO12" s="26">
        <v>8</v>
      </c>
      <c r="AP12" s="26">
        <v>5</v>
      </c>
      <c r="AQ12" s="26">
        <v>2</v>
      </c>
      <c r="AR12" s="27">
        <v>7</v>
      </c>
      <c r="AS12" s="140">
        <v>7</v>
      </c>
      <c r="AT12" s="142">
        <v>7</v>
      </c>
      <c r="AU12" s="129">
        <v>2</v>
      </c>
      <c r="AV12" s="139">
        <v>5</v>
      </c>
      <c r="AW12" s="139">
        <v>6</v>
      </c>
      <c r="AX12" s="10">
        <v>10</v>
      </c>
      <c r="AY12" s="159">
        <f t="shared" si="1"/>
        <v>87.5</v>
      </c>
      <c r="AZ12" s="74"/>
      <c r="BA12" s="65"/>
      <c r="BB12" s="63"/>
      <c r="BC12" s="75"/>
      <c r="BE12" s="147"/>
      <c r="BF12" s="99"/>
      <c r="BG12" s="148"/>
      <c r="BH12" s="101"/>
      <c r="BS12" s="20">
        <f t="shared" si="2"/>
        <v>1</v>
      </c>
    </row>
    <row r="13" spans="2:71" x14ac:dyDescent="0.25">
      <c r="B13" s="10">
        <v>9</v>
      </c>
      <c r="C13" s="26">
        <v>5</v>
      </c>
      <c r="D13" s="26">
        <v>4</v>
      </c>
      <c r="E13" s="26">
        <v>1</v>
      </c>
      <c r="F13" s="26">
        <v>7</v>
      </c>
      <c r="G13" s="26">
        <v>4</v>
      </c>
      <c r="H13" s="26">
        <v>2</v>
      </c>
      <c r="I13" s="24">
        <v>8</v>
      </c>
      <c r="J13" s="24">
        <v>5</v>
      </c>
      <c r="K13" s="24">
        <v>8</v>
      </c>
      <c r="L13" s="23">
        <v>3</v>
      </c>
      <c r="M13" s="129">
        <v>1</v>
      </c>
      <c r="N13" s="137">
        <v>7</v>
      </c>
      <c r="O13" s="137">
        <v>3</v>
      </c>
      <c r="P13" s="137">
        <v>8</v>
      </c>
      <c r="Q13" s="137">
        <v>6</v>
      </c>
      <c r="R13" s="10">
        <v>10</v>
      </c>
      <c r="S13" s="159">
        <f t="shared" si="0"/>
        <v>87.5</v>
      </c>
      <c r="T13" s="128">
        <v>5</v>
      </c>
      <c r="U13" s="128">
        <v>4</v>
      </c>
      <c r="V13" s="128">
        <v>1</v>
      </c>
      <c r="W13" s="128">
        <v>7</v>
      </c>
      <c r="X13" s="128">
        <v>4</v>
      </c>
      <c r="Y13" s="128">
        <v>2</v>
      </c>
      <c r="Z13" s="128">
        <v>8</v>
      </c>
      <c r="AA13" s="128">
        <v>5</v>
      </c>
      <c r="AB13" s="128">
        <v>8</v>
      </c>
      <c r="AC13" s="128">
        <v>3</v>
      </c>
      <c r="AD13" s="128">
        <v>1</v>
      </c>
      <c r="AE13" s="21">
        <v>3</v>
      </c>
      <c r="AF13" s="21">
        <v>6</v>
      </c>
      <c r="AG13" s="21">
        <v>8</v>
      </c>
      <c r="AH13" s="21">
        <v>6</v>
      </c>
      <c r="AI13" s="26">
        <v>5</v>
      </c>
      <c r="AJ13" s="26">
        <v>4</v>
      </c>
      <c r="AK13" s="26">
        <v>1</v>
      </c>
      <c r="AL13" s="26">
        <v>7</v>
      </c>
      <c r="AM13" s="26">
        <v>4</v>
      </c>
      <c r="AN13" s="26">
        <v>2</v>
      </c>
      <c r="AO13" s="24">
        <v>8</v>
      </c>
      <c r="AP13" s="24">
        <v>5</v>
      </c>
      <c r="AQ13" s="24">
        <v>8</v>
      </c>
      <c r="AR13" s="23">
        <v>3</v>
      </c>
      <c r="AS13" s="143">
        <v>2</v>
      </c>
      <c r="AT13" s="129">
        <v>3</v>
      </c>
      <c r="AU13" s="129">
        <v>6</v>
      </c>
      <c r="AV13" s="143">
        <v>1</v>
      </c>
      <c r="AW13" s="139">
        <v>8</v>
      </c>
      <c r="AX13" s="10">
        <v>10</v>
      </c>
      <c r="AY13" s="159">
        <f t="shared" si="1"/>
        <v>87.5</v>
      </c>
      <c r="AZ13" s="61"/>
      <c r="BA13" s="63"/>
      <c r="BB13" s="65" t="s">
        <v>26</v>
      </c>
      <c r="BC13" s="67" t="s">
        <v>26</v>
      </c>
      <c r="BE13" s="102"/>
      <c r="BF13" s="148"/>
      <c r="BG13" s="161">
        <v>5</v>
      </c>
      <c r="BH13" s="160">
        <v>2</v>
      </c>
      <c r="BS13" s="20">
        <f t="shared" si="2"/>
        <v>1</v>
      </c>
    </row>
    <row r="14" spans="2:71" x14ac:dyDescent="0.25">
      <c r="B14" s="10">
        <v>10</v>
      </c>
      <c r="C14" s="26">
        <v>5</v>
      </c>
      <c r="D14" s="26">
        <v>4</v>
      </c>
      <c r="E14" s="26">
        <v>1</v>
      </c>
      <c r="F14" s="26">
        <v>7</v>
      </c>
      <c r="G14" s="26">
        <v>4</v>
      </c>
      <c r="H14" s="27">
        <v>2</v>
      </c>
      <c r="I14" s="129">
        <v>4</v>
      </c>
      <c r="J14" s="129">
        <v>1</v>
      </c>
      <c r="K14" s="129">
        <v>1</v>
      </c>
      <c r="L14" s="129">
        <v>8</v>
      </c>
      <c r="M14" s="129">
        <v>2</v>
      </c>
      <c r="N14" s="136">
        <v>3</v>
      </c>
      <c r="O14" s="136">
        <v>6</v>
      </c>
      <c r="P14" s="136">
        <v>8</v>
      </c>
      <c r="Q14" s="136">
        <v>6</v>
      </c>
      <c r="R14" s="10">
        <v>6</v>
      </c>
      <c r="S14" s="157">
        <f t="shared" si="0"/>
        <v>37.5</v>
      </c>
      <c r="T14" s="128">
        <v>5</v>
      </c>
      <c r="U14" s="128">
        <v>4</v>
      </c>
      <c r="V14" s="128">
        <v>1</v>
      </c>
      <c r="W14" s="128">
        <v>7</v>
      </c>
      <c r="X14" s="128">
        <v>4</v>
      </c>
      <c r="Y14" s="128">
        <v>2</v>
      </c>
      <c r="Z14" s="128">
        <v>4</v>
      </c>
      <c r="AA14" s="128">
        <v>1</v>
      </c>
      <c r="AB14" s="128">
        <v>1</v>
      </c>
      <c r="AC14" s="128">
        <v>8</v>
      </c>
      <c r="AD14" s="128">
        <v>2</v>
      </c>
      <c r="AE14" s="22">
        <v>7</v>
      </c>
      <c r="AF14" s="22">
        <v>3</v>
      </c>
      <c r="AG14" s="22">
        <v>8</v>
      </c>
      <c r="AH14" s="22">
        <v>6</v>
      </c>
      <c r="AI14" s="26">
        <v>5</v>
      </c>
      <c r="AJ14" s="26">
        <v>4</v>
      </c>
      <c r="AK14" s="26">
        <v>1</v>
      </c>
      <c r="AL14" s="26">
        <v>7</v>
      </c>
      <c r="AM14" s="26">
        <v>4</v>
      </c>
      <c r="AN14" s="27">
        <v>2</v>
      </c>
      <c r="AO14" s="129">
        <v>4</v>
      </c>
      <c r="AP14" s="129">
        <v>1</v>
      </c>
      <c r="AQ14" s="143">
        <v>1</v>
      </c>
      <c r="AR14" s="138">
        <v>3</v>
      </c>
      <c r="AS14" s="129">
        <v>2</v>
      </c>
      <c r="AT14" s="129">
        <v>7</v>
      </c>
      <c r="AU14" s="129">
        <v>3</v>
      </c>
      <c r="AV14" s="129">
        <v>8</v>
      </c>
      <c r="AW14" s="139">
        <v>5</v>
      </c>
      <c r="AX14" s="10">
        <v>6</v>
      </c>
      <c r="AY14" s="157">
        <f t="shared" si="1"/>
        <v>37.5</v>
      </c>
      <c r="AZ14" s="62"/>
      <c r="BA14" s="64"/>
      <c r="BB14" s="66"/>
      <c r="BC14" s="68"/>
      <c r="BE14" s="105"/>
      <c r="BF14" s="150"/>
      <c r="BG14" s="106"/>
      <c r="BH14" s="151"/>
      <c r="BS14" s="17">
        <f t="shared" si="2"/>
        <v>0</v>
      </c>
    </row>
    <row r="15" spans="2:71" x14ac:dyDescent="0.25">
      <c r="B15" s="10">
        <v>11</v>
      </c>
      <c r="C15" s="26">
        <v>5</v>
      </c>
      <c r="D15" s="26">
        <v>4</v>
      </c>
      <c r="E15" s="26">
        <v>1</v>
      </c>
      <c r="F15" s="26">
        <v>7</v>
      </c>
      <c r="G15" s="26">
        <v>4</v>
      </c>
      <c r="H15" s="26">
        <v>2</v>
      </c>
      <c r="I15" s="27">
        <v>8</v>
      </c>
      <c r="J15" s="129">
        <v>2</v>
      </c>
      <c r="K15" s="129">
        <v>3</v>
      </c>
      <c r="L15" s="129">
        <v>7</v>
      </c>
      <c r="M15" s="129">
        <v>2</v>
      </c>
      <c r="N15" s="137">
        <v>8</v>
      </c>
      <c r="O15" s="137">
        <v>8</v>
      </c>
      <c r="P15" s="137">
        <v>2</v>
      </c>
      <c r="Q15" s="137">
        <v>8</v>
      </c>
      <c r="R15" s="10">
        <v>7</v>
      </c>
      <c r="S15" s="25">
        <f t="shared" si="0"/>
        <v>50</v>
      </c>
      <c r="T15" s="128">
        <v>5</v>
      </c>
      <c r="U15" s="128">
        <v>4</v>
      </c>
      <c r="V15" s="128">
        <v>1</v>
      </c>
      <c r="W15" s="128">
        <v>7</v>
      </c>
      <c r="X15" s="128">
        <v>4</v>
      </c>
      <c r="Y15" s="128">
        <v>2</v>
      </c>
      <c r="Z15" s="128">
        <v>8</v>
      </c>
      <c r="AA15" s="128">
        <v>2</v>
      </c>
      <c r="AB15" s="128">
        <v>3</v>
      </c>
      <c r="AC15" s="128">
        <v>7</v>
      </c>
      <c r="AD15" s="128">
        <v>2</v>
      </c>
      <c r="AE15" s="21">
        <v>8</v>
      </c>
      <c r="AF15" s="21">
        <v>6</v>
      </c>
      <c r="AG15" s="21">
        <v>1</v>
      </c>
      <c r="AH15" s="21">
        <v>4</v>
      </c>
      <c r="AI15" s="26">
        <v>5</v>
      </c>
      <c r="AJ15" s="26">
        <v>4</v>
      </c>
      <c r="AK15" s="26">
        <v>1</v>
      </c>
      <c r="AL15" s="26">
        <v>7</v>
      </c>
      <c r="AM15" s="26">
        <v>4</v>
      </c>
      <c r="AN15" s="26">
        <v>2</v>
      </c>
      <c r="AO15" s="27">
        <v>8</v>
      </c>
      <c r="AP15" s="129">
        <v>2</v>
      </c>
      <c r="AQ15" s="144">
        <v>4</v>
      </c>
      <c r="AR15" s="129">
        <v>7</v>
      </c>
      <c r="AS15" s="129">
        <v>2</v>
      </c>
      <c r="AT15" s="138">
        <v>6</v>
      </c>
      <c r="AU15" s="129">
        <v>6</v>
      </c>
      <c r="AV15" s="129">
        <v>1</v>
      </c>
      <c r="AW15" s="144">
        <v>4</v>
      </c>
      <c r="AX15" s="10">
        <v>7</v>
      </c>
      <c r="AY15" s="25">
        <f t="shared" si="1"/>
        <v>50</v>
      </c>
      <c r="BS15" s="17">
        <f t="shared" si="2"/>
        <v>0</v>
      </c>
    </row>
    <row r="16" spans="2:71" x14ac:dyDescent="0.25">
      <c r="B16" s="10">
        <v>12</v>
      </c>
      <c r="C16" s="24">
        <v>5</v>
      </c>
      <c r="D16" s="24">
        <v>4</v>
      </c>
      <c r="E16" s="24">
        <v>1</v>
      </c>
      <c r="F16" s="24">
        <v>7</v>
      </c>
      <c r="G16" s="24">
        <v>4</v>
      </c>
      <c r="H16" s="24">
        <v>1</v>
      </c>
      <c r="I16" s="24">
        <v>3</v>
      </c>
      <c r="J16" s="23">
        <v>6</v>
      </c>
      <c r="K16" s="129">
        <v>5</v>
      </c>
      <c r="L16" s="129">
        <v>1</v>
      </c>
      <c r="M16" s="129">
        <v>1</v>
      </c>
      <c r="N16" s="136">
        <v>8</v>
      </c>
      <c r="O16" s="136">
        <v>6</v>
      </c>
      <c r="P16" s="136">
        <v>1</v>
      </c>
      <c r="Q16" s="136">
        <v>4</v>
      </c>
      <c r="R16" s="10">
        <v>8</v>
      </c>
      <c r="S16" s="158">
        <f t="shared" si="0"/>
        <v>62.5</v>
      </c>
      <c r="T16" s="128">
        <v>5</v>
      </c>
      <c r="U16" s="128">
        <v>4</v>
      </c>
      <c r="V16" s="128">
        <v>1</v>
      </c>
      <c r="W16" s="128">
        <v>7</v>
      </c>
      <c r="X16" s="128">
        <v>4</v>
      </c>
      <c r="Y16" s="128">
        <v>1</v>
      </c>
      <c r="Z16" s="128">
        <v>3</v>
      </c>
      <c r="AA16" s="128">
        <v>6</v>
      </c>
      <c r="AB16" s="128">
        <v>5</v>
      </c>
      <c r="AC16" s="128">
        <v>1</v>
      </c>
      <c r="AD16" s="128">
        <v>1</v>
      </c>
      <c r="AE16" s="22">
        <v>8</v>
      </c>
      <c r="AF16" s="22">
        <v>8</v>
      </c>
      <c r="AG16" s="22">
        <v>2</v>
      </c>
      <c r="AH16" s="22">
        <v>8</v>
      </c>
      <c r="AI16" s="24">
        <v>5</v>
      </c>
      <c r="AJ16" s="24">
        <v>4</v>
      </c>
      <c r="AK16" s="24">
        <v>1</v>
      </c>
      <c r="AL16" s="24">
        <v>7</v>
      </c>
      <c r="AM16" s="24">
        <v>4</v>
      </c>
      <c r="AN16" s="24">
        <v>1</v>
      </c>
      <c r="AO16" s="24">
        <v>3</v>
      </c>
      <c r="AP16" s="23">
        <v>6</v>
      </c>
      <c r="AQ16" s="129">
        <v>5</v>
      </c>
      <c r="AR16" s="143">
        <v>1</v>
      </c>
      <c r="AS16" s="145">
        <v>8</v>
      </c>
      <c r="AT16" s="129">
        <v>8</v>
      </c>
      <c r="AU16" s="138">
        <v>4</v>
      </c>
      <c r="AV16" s="129">
        <v>2</v>
      </c>
      <c r="AW16" s="129">
        <v>8</v>
      </c>
      <c r="AX16" s="10">
        <v>8</v>
      </c>
      <c r="AY16" s="158">
        <f t="shared" si="1"/>
        <v>62.5</v>
      </c>
      <c r="BS16" s="20">
        <f t="shared" si="2"/>
        <v>1</v>
      </c>
    </row>
    <row r="17" spans="2:70" x14ac:dyDescent="0.25">
      <c r="AZ17" s="116" t="s">
        <v>25</v>
      </c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</row>
    <row r="18" spans="2:70" x14ac:dyDescent="0.25"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</row>
    <row r="20" spans="2:70" ht="15" customHeight="1" x14ac:dyDescent="0.25">
      <c r="B20" s="110" t="s">
        <v>11</v>
      </c>
      <c r="C20" s="107" t="s">
        <v>22</v>
      </c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T20" s="118" t="s">
        <v>24</v>
      </c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</row>
    <row r="21" spans="2:70" x14ac:dyDescent="0.25">
      <c r="B21" s="110"/>
      <c r="C21" s="15">
        <v>0</v>
      </c>
      <c r="D21" s="15">
        <v>1</v>
      </c>
      <c r="E21" s="15">
        <v>2</v>
      </c>
      <c r="F21" s="15">
        <v>3</v>
      </c>
      <c r="G21" s="15">
        <v>4</v>
      </c>
      <c r="H21" s="15">
        <v>5</v>
      </c>
      <c r="I21" s="15">
        <v>6</v>
      </c>
      <c r="J21" s="15">
        <v>7</v>
      </c>
      <c r="K21" s="15">
        <v>8</v>
      </c>
      <c r="L21" s="15">
        <v>9</v>
      </c>
      <c r="M21" s="15" t="s">
        <v>13</v>
      </c>
      <c r="N21" s="15" t="s">
        <v>14</v>
      </c>
      <c r="O21" s="15" t="s">
        <v>15</v>
      </c>
      <c r="P21" s="15" t="s">
        <v>16</v>
      </c>
      <c r="Q21" s="15" t="s">
        <v>1</v>
      </c>
      <c r="T21" s="111" t="s">
        <v>27</v>
      </c>
      <c r="U21" s="112"/>
      <c r="V21" s="112"/>
      <c r="W21" s="112"/>
      <c r="X21" s="112"/>
      <c r="Y21" s="119" t="s">
        <v>30</v>
      </c>
      <c r="Z21" s="114"/>
      <c r="AA21" s="114"/>
      <c r="AB21" s="114"/>
      <c r="AC21" s="114"/>
      <c r="AD21" s="120" t="s">
        <v>23</v>
      </c>
      <c r="AE21" s="121"/>
      <c r="AF21" s="121"/>
      <c r="AG21" s="121"/>
      <c r="AH21" s="121"/>
      <c r="AI21" s="122" t="s">
        <v>28</v>
      </c>
      <c r="AJ21" s="123"/>
      <c r="AK21" s="123"/>
      <c r="AL21" s="123"/>
      <c r="AM21" s="123"/>
      <c r="AN21" s="117"/>
      <c r="AO21" s="117"/>
      <c r="AP21" s="117"/>
      <c r="AQ21" s="117"/>
      <c r="AR21" s="117"/>
      <c r="AS21" s="117"/>
      <c r="AT21" s="117"/>
      <c r="AZ21" s="93">
        <v>1</v>
      </c>
      <c r="BA21" s="93"/>
      <c r="BB21" s="93"/>
      <c r="BC21" s="93"/>
      <c r="BD21" s="93"/>
      <c r="BE21" s="93"/>
      <c r="BF21" s="93"/>
      <c r="BG21" s="93"/>
      <c r="BH21" s="93"/>
      <c r="BI21" s="18"/>
      <c r="BJ21" s="93">
        <v>7</v>
      </c>
      <c r="BK21" s="93"/>
      <c r="BL21" s="93"/>
      <c r="BM21" s="93"/>
      <c r="BN21" s="85"/>
      <c r="BO21" s="93"/>
      <c r="BP21" s="93"/>
      <c r="BQ21" s="90"/>
      <c r="BR21" s="71"/>
    </row>
    <row r="22" spans="2:70" x14ac:dyDescent="0.25">
      <c r="B22" s="10">
        <v>1</v>
      </c>
      <c r="C22" s="10">
        <f ca="1">RANDBETWEEN(1,8)</f>
        <v>5</v>
      </c>
      <c r="D22" s="10">
        <f t="shared" ref="C22:Q33" ca="1" si="3">RANDBETWEEN(1,8)</f>
        <v>7</v>
      </c>
      <c r="E22" s="10">
        <f t="shared" ca="1" si="3"/>
        <v>5</v>
      </c>
      <c r="F22" s="10">
        <f t="shared" ca="1" si="3"/>
        <v>5</v>
      </c>
      <c r="G22" s="10">
        <f t="shared" ca="1" si="3"/>
        <v>5</v>
      </c>
      <c r="H22" s="10">
        <f t="shared" ca="1" si="3"/>
        <v>1</v>
      </c>
      <c r="I22" s="10">
        <f t="shared" ca="1" si="3"/>
        <v>1</v>
      </c>
      <c r="J22" s="10">
        <f t="shared" ca="1" si="3"/>
        <v>3</v>
      </c>
      <c r="K22" s="10">
        <f t="shared" ca="1" si="3"/>
        <v>4</v>
      </c>
      <c r="L22" s="10">
        <f t="shared" ca="1" si="3"/>
        <v>5</v>
      </c>
      <c r="M22" s="10">
        <f t="shared" ca="1" si="3"/>
        <v>4</v>
      </c>
      <c r="N22" s="10">
        <f t="shared" ca="1" si="3"/>
        <v>6</v>
      </c>
      <c r="O22" s="10">
        <f t="shared" ca="1" si="3"/>
        <v>1</v>
      </c>
      <c r="P22" s="10">
        <f t="shared" ca="1" si="3"/>
        <v>6</v>
      </c>
      <c r="Q22" s="10">
        <f ca="1">RANDBETWEEN(1,8)</f>
        <v>7</v>
      </c>
      <c r="T22" s="112"/>
      <c r="U22" s="112"/>
      <c r="V22" s="112"/>
      <c r="W22" s="112"/>
      <c r="X22" s="112"/>
      <c r="Y22" s="114"/>
      <c r="Z22" s="114"/>
      <c r="AA22" s="114"/>
      <c r="AB22" s="114"/>
      <c r="AC22" s="114"/>
      <c r="AD22" s="121"/>
      <c r="AE22" s="121"/>
      <c r="AF22" s="121"/>
      <c r="AG22" s="121"/>
      <c r="AH22" s="121"/>
      <c r="AI22" s="123"/>
      <c r="AJ22" s="123"/>
      <c r="AK22" s="123"/>
      <c r="AL22" s="123"/>
      <c r="AM22" s="123"/>
      <c r="AN22" s="117"/>
      <c r="AO22" s="117"/>
      <c r="AP22" s="117"/>
      <c r="AQ22" s="117"/>
      <c r="AR22" s="117"/>
      <c r="AS22" s="117"/>
      <c r="AT22" s="117"/>
      <c r="AZ22" s="18"/>
      <c r="BA22" s="18"/>
      <c r="BB22" s="18"/>
      <c r="BC22" s="18"/>
      <c r="BD22" s="16"/>
      <c r="BE22" s="18"/>
      <c r="BF22" s="18"/>
      <c r="BG22" s="18"/>
      <c r="BH22" s="18"/>
      <c r="BI22" s="18"/>
      <c r="BJ22" s="18"/>
      <c r="BK22" s="18"/>
      <c r="BL22" s="18"/>
      <c r="BM22" s="18"/>
      <c r="BN22" s="16"/>
      <c r="BO22" s="18"/>
      <c r="BP22" s="18"/>
      <c r="BQ22" s="18"/>
      <c r="BR22" s="18"/>
    </row>
    <row r="23" spans="2:70" x14ac:dyDescent="0.25">
      <c r="B23" s="10">
        <v>2</v>
      </c>
      <c r="C23" s="10">
        <f t="shared" ca="1" si="3"/>
        <v>7</v>
      </c>
      <c r="D23" s="10">
        <f t="shared" ca="1" si="3"/>
        <v>3</v>
      </c>
      <c r="E23" s="10">
        <f t="shared" ca="1" si="3"/>
        <v>2</v>
      </c>
      <c r="F23" s="10">
        <f t="shared" ca="1" si="3"/>
        <v>6</v>
      </c>
      <c r="G23" s="10">
        <f t="shared" ca="1" si="3"/>
        <v>5</v>
      </c>
      <c r="H23" s="10">
        <f t="shared" ca="1" si="3"/>
        <v>1</v>
      </c>
      <c r="I23" s="10">
        <f t="shared" ca="1" si="3"/>
        <v>3</v>
      </c>
      <c r="J23" s="10">
        <f t="shared" ca="1" si="3"/>
        <v>8</v>
      </c>
      <c r="K23" s="10">
        <f t="shared" ca="1" si="3"/>
        <v>3</v>
      </c>
      <c r="L23" s="10">
        <f t="shared" ca="1" si="3"/>
        <v>6</v>
      </c>
      <c r="M23" s="10">
        <f t="shared" ca="1" si="3"/>
        <v>6</v>
      </c>
      <c r="N23" s="10">
        <f t="shared" ca="1" si="3"/>
        <v>5</v>
      </c>
      <c r="O23" s="10">
        <f t="shared" ca="1" si="3"/>
        <v>1</v>
      </c>
      <c r="P23" s="10">
        <f t="shared" ca="1" si="3"/>
        <v>1</v>
      </c>
      <c r="Q23" s="10">
        <f t="shared" ca="1" si="3"/>
        <v>4</v>
      </c>
      <c r="T23" s="63">
        <v>1</v>
      </c>
      <c r="U23" s="63"/>
      <c r="V23" s="63"/>
      <c r="W23" s="63"/>
      <c r="X23" s="63"/>
      <c r="Y23" s="63">
        <v>6</v>
      </c>
      <c r="Z23" s="63"/>
      <c r="AA23" s="63"/>
      <c r="AB23" s="63"/>
      <c r="AC23" s="63"/>
      <c r="AD23" s="63">
        <v>30</v>
      </c>
      <c r="AE23" s="63"/>
      <c r="AF23" s="63"/>
      <c r="AG23" s="63"/>
      <c r="AH23" s="63"/>
      <c r="AI23" s="63"/>
      <c r="AJ23" s="63"/>
      <c r="AK23" s="63"/>
      <c r="AL23" s="63"/>
      <c r="AM23" s="63"/>
      <c r="AN23" s="117"/>
      <c r="AO23" s="117"/>
      <c r="AP23" s="117"/>
      <c r="AQ23" s="117"/>
      <c r="AR23" s="117"/>
      <c r="AS23" s="117"/>
      <c r="AT23" s="117"/>
      <c r="AZ23" s="80" t="s">
        <v>26</v>
      </c>
      <c r="BA23" s="81"/>
      <c r="BB23" s="82" t="s">
        <v>26</v>
      </c>
      <c r="BC23" s="83"/>
      <c r="BD23" s="16"/>
      <c r="BE23" s="84">
        <v>0</v>
      </c>
      <c r="BF23" s="76"/>
      <c r="BG23" s="168">
        <v>6</v>
      </c>
      <c r="BH23" s="77"/>
      <c r="BI23" s="18"/>
      <c r="BJ23" s="80" t="s">
        <v>26</v>
      </c>
      <c r="BK23" s="81" t="s">
        <v>26</v>
      </c>
      <c r="BL23" s="82"/>
      <c r="BM23" s="83" t="s">
        <v>26</v>
      </c>
      <c r="BN23" s="16"/>
      <c r="BO23" s="84">
        <v>0</v>
      </c>
      <c r="BP23" s="96">
        <v>7</v>
      </c>
      <c r="BQ23" s="130"/>
      <c r="BR23" s="163">
        <v>9</v>
      </c>
    </row>
    <row r="24" spans="2:70" x14ac:dyDescent="0.25">
      <c r="B24" s="10">
        <v>3</v>
      </c>
      <c r="C24" s="10">
        <f t="shared" ca="1" si="3"/>
        <v>4</v>
      </c>
      <c r="D24" s="10">
        <f t="shared" ca="1" si="3"/>
        <v>2</v>
      </c>
      <c r="E24" s="10">
        <f t="shared" ca="1" si="3"/>
        <v>3</v>
      </c>
      <c r="F24" s="10">
        <f t="shared" ca="1" si="3"/>
        <v>5</v>
      </c>
      <c r="G24" s="10">
        <f t="shared" ca="1" si="3"/>
        <v>8</v>
      </c>
      <c r="H24" s="10">
        <f t="shared" ca="1" si="3"/>
        <v>6</v>
      </c>
      <c r="I24" s="10">
        <f t="shared" ca="1" si="3"/>
        <v>1</v>
      </c>
      <c r="J24" s="10">
        <f t="shared" ca="1" si="3"/>
        <v>7</v>
      </c>
      <c r="K24" s="10">
        <f t="shared" ca="1" si="3"/>
        <v>8</v>
      </c>
      <c r="L24" s="10">
        <f t="shared" ca="1" si="3"/>
        <v>8</v>
      </c>
      <c r="M24" s="10">
        <f t="shared" ca="1" si="3"/>
        <v>2</v>
      </c>
      <c r="N24" s="10">
        <f t="shared" ca="1" si="3"/>
        <v>5</v>
      </c>
      <c r="O24" s="10">
        <f t="shared" ca="1" si="3"/>
        <v>6</v>
      </c>
      <c r="P24" s="10">
        <f t="shared" ca="1" si="3"/>
        <v>1</v>
      </c>
      <c r="Q24" s="10">
        <f t="shared" ca="1" si="3"/>
        <v>2</v>
      </c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117"/>
      <c r="AO24" s="117"/>
      <c r="AP24" s="117"/>
      <c r="AQ24" s="117"/>
      <c r="AR24" s="117"/>
      <c r="AS24" s="117"/>
      <c r="AT24" s="117"/>
      <c r="AZ24" s="74"/>
      <c r="BA24" s="65"/>
      <c r="BB24" s="63"/>
      <c r="BC24" s="75"/>
      <c r="BD24" s="16"/>
      <c r="BE24" s="131"/>
      <c r="BF24" s="59"/>
      <c r="BG24" s="132"/>
      <c r="BH24" s="60"/>
      <c r="BI24" s="18"/>
      <c r="BJ24" s="74"/>
      <c r="BK24" s="65"/>
      <c r="BL24" s="63"/>
      <c r="BM24" s="75"/>
      <c r="BN24" s="16"/>
      <c r="BO24" s="131"/>
      <c r="BP24" s="59"/>
      <c r="BQ24" s="132"/>
      <c r="BR24" s="60"/>
    </row>
    <row r="25" spans="2:70" x14ac:dyDescent="0.25">
      <c r="B25" s="10">
        <v>4</v>
      </c>
      <c r="C25" s="10">
        <f t="shared" ca="1" si="3"/>
        <v>1</v>
      </c>
      <c r="D25" s="10">
        <f t="shared" ca="1" si="3"/>
        <v>3</v>
      </c>
      <c r="E25" s="10">
        <f t="shared" ca="1" si="3"/>
        <v>6</v>
      </c>
      <c r="F25" s="10">
        <f t="shared" ca="1" si="3"/>
        <v>7</v>
      </c>
      <c r="G25" s="10">
        <f t="shared" ca="1" si="3"/>
        <v>5</v>
      </c>
      <c r="H25" s="10">
        <f t="shared" ca="1" si="3"/>
        <v>3</v>
      </c>
      <c r="I25" s="10">
        <f t="shared" ca="1" si="3"/>
        <v>7</v>
      </c>
      <c r="J25" s="10">
        <f t="shared" ca="1" si="3"/>
        <v>3</v>
      </c>
      <c r="K25" s="10">
        <f t="shared" ca="1" si="3"/>
        <v>5</v>
      </c>
      <c r="L25" s="10">
        <f t="shared" ca="1" si="3"/>
        <v>3</v>
      </c>
      <c r="M25" s="10">
        <f t="shared" ca="1" si="3"/>
        <v>3</v>
      </c>
      <c r="N25" s="10">
        <f t="shared" ca="1" si="3"/>
        <v>8</v>
      </c>
      <c r="O25" s="10">
        <f t="shared" ca="1" si="3"/>
        <v>3</v>
      </c>
      <c r="P25" s="10">
        <f t="shared" ca="1" si="3"/>
        <v>5</v>
      </c>
      <c r="Q25" s="10">
        <f t="shared" ca="1" si="3"/>
        <v>8</v>
      </c>
      <c r="AZ25" s="61"/>
      <c r="BA25" s="63" t="s">
        <v>26</v>
      </c>
      <c r="BB25" s="65" t="s">
        <v>26</v>
      </c>
      <c r="BC25" s="67" t="s">
        <v>26</v>
      </c>
      <c r="BD25" s="16"/>
      <c r="BE25" s="69"/>
      <c r="BF25" s="88">
        <v>8</v>
      </c>
      <c r="BG25" s="78">
        <v>1</v>
      </c>
      <c r="BH25" s="152">
        <v>4</v>
      </c>
      <c r="BI25" s="18"/>
      <c r="BJ25" s="61"/>
      <c r="BK25" s="63" t="s">
        <v>26</v>
      </c>
      <c r="BL25" s="65" t="s">
        <v>26</v>
      </c>
      <c r="BM25" s="67" t="s">
        <v>26</v>
      </c>
      <c r="BN25" s="16"/>
      <c r="BO25" s="69"/>
      <c r="BP25" s="97">
        <v>10</v>
      </c>
      <c r="BQ25" s="87">
        <v>3</v>
      </c>
      <c r="BR25" s="79">
        <v>6</v>
      </c>
    </row>
    <row r="26" spans="2:70" x14ac:dyDescent="0.25">
      <c r="B26" s="10">
        <v>5</v>
      </c>
      <c r="C26" s="10">
        <f t="shared" ca="1" si="3"/>
        <v>5</v>
      </c>
      <c r="D26" s="10">
        <f t="shared" ca="1" si="3"/>
        <v>1</v>
      </c>
      <c r="E26" s="10">
        <f t="shared" ca="1" si="3"/>
        <v>8</v>
      </c>
      <c r="F26" s="10">
        <f t="shared" ca="1" si="3"/>
        <v>6</v>
      </c>
      <c r="G26" s="10">
        <f t="shared" ca="1" si="3"/>
        <v>3</v>
      </c>
      <c r="H26" s="10">
        <f t="shared" ca="1" si="3"/>
        <v>5</v>
      </c>
      <c r="I26" s="10">
        <f t="shared" ca="1" si="3"/>
        <v>8</v>
      </c>
      <c r="J26" s="10">
        <f t="shared" ca="1" si="3"/>
        <v>2</v>
      </c>
      <c r="K26" s="10">
        <f t="shared" ca="1" si="3"/>
        <v>7</v>
      </c>
      <c r="L26" s="10">
        <f t="shared" ca="1" si="3"/>
        <v>8</v>
      </c>
      <c r="M26" s="10">
        <f t="shared" ca="1" si="3"/>
        <v>8</v>
      </c>
      <c r="N26" s="10">
        <f t="shared" ca="1" si="3"/>
        <v>1</v>
      </c>
      <c r="O26" s="10">
        <f t="shared" ca="1" si="3"/>
        <v>3</v>
      </c>
      <c r="P26" s="10">
        <f t="shared" ca="1" si="3"/>
        <v>8</v>
      </c>
      <c r="Q26" s="10">
        <f t="shared" ca="1" si="3"/>
        <v>6</v>
      </c>
      <c r="AZ26" s="61"/>
      <c r="BA26" s="63"/>
      <c r="BB26" s="65"/>
      <c r="BC26" s="67"/>
      <c r="BD26" s="16"/>
      <c r="BE26" s="69"/>
      <c r="BF26" s="132"/>
      <c r="BG26" s="59"/>
      <c r="BH26" s="133"/>
      <c r="BI26" s="18"/>
      <c r="BJ26" s="61"/>
      <c r="BK26" s="63"/>
      <c r="BL26" s="65"/>
      <c r="BM26" s="67"/>
      <c r="BN26" s="16"/>
      <c r="BO26" s="69"/>
      <c r="BP26" s="132"/>
      <c r="BQ26" s="59"/>
      <c r="BR26" s="133"/>
    </row>
    <row r="27" spans="2:70" x14ac:dyDescent="0.25">
      <c r="B27" s="10">
        <v>6</v>
      </c>
      <c r="C27" s="10">
        <f t="shared" ca="1" si="3"/>
        <v>2</v>
      </c>
      <c r="D27" s="10">
        <f t="shared" ca="1" si="3"/>
        <v>2</v>
      </c>
      <c r="E27" s="10">
        <f t="shared" ca="1" si="3"/>
        <v>1</v>
      </c>
      <c r="F27" s="10">
        <f t="shared" ca="1" si="3"/>
        <v>3</v>
      </c>
      <c r="G27" s="10">
        <f t="shared" ca="1" si="3"/>
        <v>2</v>
      </c>
      <c r="H27" s="10">
        <f t="shared" ca="1" si="3"/>
        <v>8</v>
      </c>
      <c r="I27" s="10">
        <f t="shared" ca="1" si="3"/>
        <v>1</v>
      </c>
      <c r="J27" s="10">
        <f t="shared" ca="1" si="3"/>
        <v>6</v>
      </c>
      <c r="K27" s="10">
        <f t="shared" ca="1" si="3"/>
        <v>3</v>
      </c>
      <c r="L27" s="10">
        <f t="shared" ca="1" si="3"/>
        <v>7</v>
      </c>
      <c r="M27" s="10">
        <f t="shared" ca="1" si="3"/>
        <v>7</v>
      </c>
      <c r="N27" s="10">
        <f t="shared" ca="1" si="3"/>
        <v>4</v>
      </c>
      <c r="O27" s="10">
        <f t="shared" ca="1" si="3"/>
        <v>7</v>
      </c>
      <c r="P27" s="10">
        <f t="shared" ca="1" si="3"/>
        <v>2</v>
      </c>
      <c r="Q27" s="10">
        <f t="shared" ca="1" si="3"/>
        <v>2</v>
      </c>
      <c r="AZ27" s="74" t="s">
        <v>26</v>
      </c>
      <c r="BA27" s="65" t="s">
        <v>26</v>
      </c>
      <c r="BB27" s="63"/>
      <c r="BC27" s="75" t="s">
        <v>26</v>
      </c>
      <c r="BD27" s="16"/>
      <c r="BE27" s="146">
        <v>2</v>
      </c>
      <c r="BF27" s="58">
        <v>5</v>
      </c>
      <c r="BG27" s="132"/>
      <c r="BH27" s="172">
        <v>7</v>
      </c>
      <c r="BI27" s="18"/>
      <c r="BJ27" s="74" t="s">
        <v>26</v>
      </c>
      <c r="BK27" s="65" t="s">
        <v>26</v>
      </c>
      <c r="BL27" s="63" t="s">
        <v>26</v>
      </c>
      <c r="BM27" s="75" t="s">
        <v>26</v>
      </c>
      <c r="BN27" s="16"/>
      <c r="BO27" s="92">
        <v>4</v>
      </c>
      <c r="BP27" s="78">
        <v>1</v>
      </c>
      <c r="BQ27" s="88">
        <v>8</v>
      </c>
      <c r="BR27" s="164">
        <v>11</v>
      </c>
    </row>
    <row r="28" spans="2:70" x14ac:dyDescent="0.25">
      <c r="B28" s="10">
        <v>7</v>
      </c>
      <c r="C28" s="10">
        <f t="shared" ca="1" si="3"/>
        <v>3</v>
      </c>
      <c r="D28" s="10">
        <f t="shared" ca="1" si="3"/>
        <v>6</v>
      </c>
      <c r="E28" s="10">
        <f t="shared" ca="1" si="3"/>
        <v>7</v>
      </c>
      <c r="F28" s="10">
        <f t="shared" ca="1" si="3"/>
        <v>1</v>
      </c>
      <c r="G28" s="10">
        <f t="shared" ca="1" si="3"/>
        <v>3</v>
      </c>
      <c r="H28" s="10">
        <f t="shared" ca="1" si="3"/>
        <v>6</v>
      </c>
      <c r="I28" s="10">
        <f t="shared" ca="1" si="3"/>
        <v>8</v>
      </c>
      <c r="J28" s="10">
        <f t="shared" ca="1" si="3"/>
        <v>2</v>
      </c>
      <c r="K28" s="10">
        <f t="shared" ca="1" si="3"/>
        <v>6</v>
      </c>
      <c r="L28" s="10">
        <f t="shared" ca="1" si="3"/>
        <v>1</v>
      </c>
      <c r="M28" s="10">
        <f t="shared" ca="1" si="3"/>
        <v>4</v>
      </c>
      <c r="N28" s="10">
        <f t="shared" ca="1" si="3"/>
        <v>4</v>
      </c>
      <c r="O28" s="10">
        <f t="shared" ca="1" si="3"/>
        <v>8</v>
      </c>
      <c r="P28" s="10">
        <f t="shared" ca="1" si="3"/>
        <v>5</v>
      </c>
      <c r="Q28" s="10">
        <f t="shared" ca="1" si="3"/>
        <v>3</v>
      </c>
      <c r="AZ28" s="74"/>
      <c r="BA28" s="65"/>
      <c r="BB28" s="63"/>
      <c r="BC28" s="75"/>
      <c r="BD28" s="16"/>
      <c r="BE28" s="131"/>
      <c r="BF28" s="59"/>
      <c r="BG28" s="132"/>
      <c r="BH28" s="60"/>
      <c r="BI28" s="18"/>
      <c r="BJ28" s="74"/>
      <c r="BK28" s="65"/>
      <c r="BL28" s="63"/>
      <c r="BM28" s="75"/>
      <c r="BN28" s="16"/>
      <c r="BO28" s="131"/>
      <c r="BP28" s="59"/>
      <c r="BQ28" s="132"/>
      <c r="BR28" s="60"/>
    </row>
    <row r="29" spans="2:70" x14ac:dyDescent="0.25">
      <c r="B29" s="10">
        <v>8</v>
      </c>
      <c r="C29" s="10">
        <f t="shared" ca="1" si="3"/>
        <v>3</v>
      </c>
      <c r="D29" s="10">
        <f t="shared" ca="1" si="3"/>
        <v>8</v>
      </c>
      <c r="E29" s="10">
        <f t="shared" ca="1" si="3"/>
        <v>2</v>
      </c>
      <c r="F29" s="10">
        <f t="shared" ca="1" si="3"/>
        <v>4</v>
      </c>
      <c r="G29" s="10">
        <f t="shared" ca="1" si="3"/>
        <v>6</v>
      </c>
      <c r="H29" s="10">
        <f t="shared" ca="1" si="3"/>
        <v>1</v>
      </c>
      <c r="I29" s="10">
        <f t="shared" ca="1" si="3"/>
        <v>7</v>
      </c>
      <c r="J29" s="10">
        <f t="shared" ca="1" si="3"/>
        <v>4</v>
      </c>
      <c r="K29" s="10">
        <f t="shared" ca="1" si="3"/>
        <v>6</v>
      </c>
      <c r="L29" s="10">
        <f t="shared" ca="1" si="3"/>
        <v>4</v>
      </c>
      <c r="M29" s="10">
        <f t="shared" ca="1" si="3"/>
        <v>8</v>
      </c>
      <c r="N29" s="10">
        <f t="shared" ca="1" si="3"/>
        <v>2</v>
      </c>
      <c r="O29" s="10">
        <f t="shared" ca="1" si="3"/>
        <v>8</v>
      </c>
      <c r="P29" s="10">
        <f t="shared" ca="1" si="3"/>
        <v>4</v>
      </c>
      <c r="Q29" s="10">
        <f t="shared" ca="1" si="3"/>
        <v>4</v>
      </c>
      <c r="AS29" s="19"/>
      <c r="AZ29" s="61"/>
      <c r="BA29" s="63"/>
      <c r="BB29" s="65" t="s">
        <v>26</v>
      </c>
      <c r="BC29" s="67"/>
      <c r="BD29" s="16"/>
      <c r="BE29" s="69"/>
      <c r="BF29" s="132"/>
      <c r="BG29" s="87">
        <v>3</v>
      </c>
      <c r="BH29" s="133"/>
      <c r="BI29" s="18"/>
      <c r="BJ29" s="61"/>
      <c r="BK29" s="63"/>
      <c r="BL29" s="65" t="s">
        <v>26</v>
      </c>
      <c r="BM29" s="67" t="s">
        <v>26</v>
      </c>
      <c r="BN29" s="16"/>
      <c r="BO29" s="69"/>
      <c r="BP29" s="132"/>
      <c r="BQ29" s="58">
        <v>5</v>
      </c>
      <c r="BR29" s="86">
        <v>2</v>
      </c>
    </row>
    <row r="30" spans="2:70" x14ac:dyDescent="0.25">
      <c r="B30" s="10">
        <v>9</v>
      </c>
      <c r="C30" s="10">
        <f t="shared" ca="1" si="3"/>
        <v>4</v>
      </c>
      <c r="D30" s="10">
        <f t="shared" ca="1" si="3"/>
        <v>8</v>
      </c>
      <c r="E30" s="10">
        <f t="shared" ca="1" si="3"/>
        <v>4</v>
      </c>
      <c r="F30" s="10">
        <f t="shared" ca="1" si="3"/>
        <v>3</v>
      </c>
      <c r="G30" s="10">
        <f t="shared" ca="1" si="3"/>
        <v>4</v>
      </c>
      <c r="H30" s="10">
        <f t="shared" ca="1" si="3"/>
        <v>3</v>
      </c>
      <c r="I30" s="10">
        <f t="shared" ca="1" si="3"/>
        <v>6</v>
      </c>
      <c r="J30" s="10">
        <f t="shared" ca="1" si="3"/>
        <v>6</v>
      </c>
      <c r="K30" s="10">
        <f t="shared" ca="1" si="3"/>
        <v>8</v>
      </c>
      <c r="L30" s="10">
        <f t="shared" ca="1" si="3"/>
        <v>6</v>
      </c>
      <c r="M30" s="10">
        <f t="shared" ca="1" si="3"/>
        <v>1</v>
      </c>
      <c r="N30" s="10">
        <f t="shared" ca="1" si="3"/>
        <v>4</v>
      </c>
      <c r="O30" s="10">
        <f t="shared" ca="1" si="3"/>
        <v>7</v>
      </c>
      <c r="P30" s="10">
        <f t="shared" ca="1" si="3"/>
        <v>4</v>
      </c>
      <c r="Q30" s="10">
        <f t="shared" ca="1" si="3"/>
        <v>5</v>
      </c>
      <c r="AZ30" s="62"/>
      <c r="BA30" s="64"/>
      <c r="BB30" s="66"/>
      <c r="BC30" s="68"/>
      <c r="BD30" s="16"/>
      <c r="BE30" s="70"/>
      <c r="BF30" s="134"/>
      <c r="BG30" s="73"/>
      <c r="BH30" s="135"/>
      <c r="BI30" s="18"/>
      <c r="BJ30" s="62"/>
      <c r="BK30" s="64"/>
      <c r="BL30" s="66"/>
      <c r="BM30" s="68"/>
      <c r="BN30" s="16"/>
      <c r="BO30" s="70"/>
      <c r="BP30" s="134"/>
      <c r="BQ30" s="73"/>
      <c r="BR30" s="135"/>
    </row>
    <row r="31" spans="2:70" x14ac:dyDescent="0.25">
      <c r="B31" s="10">
        <v>10</v>
      </c>
      <c r="C31" s="10">
        <f t="shared" ca="1" si="3"/>
        <v>2</v>
      </c>
      <c r="D31" s="10">
        <f t="shared" ca="1" si="3"/>
        <v>1</v>
      </c>
      <c r="E31" s="10">
        <f t="shared" ca="1" si="3"/>
        <v>2</v>
      </c>
      <c r="F31" s="10">
        <f t="shared" ca="1" si="3"/>
        <v>8</v>
      </c>
      <c r="G31" s="10">
        <f t="shared" ca="1" si="3"/>
        <v>1</v>
      </c>
      <c r="H31" s="10">
        <f t="shared" ca="1" si="3"/>
        <v>2</v>
      </c>
      <c r="I31" s="10">
        <f t="shared" ca="1" si="3"/>
        <v>8</v>
      </c>
      <c r="J31" s="10">
        <f t="shared" ca="1" si="3"/>
        <v>3</v>
      </c>
      <c r="K31" s="10">
        <f t="shared" ca="1" si="3"/>
        <v>3</v>
      </c>
      <c r="L31" s="10">
        <f t="shared" ca="1" si="3"/>
        <v>5</v>
      </c>
      <c r="M31" s="10">
        <f t="shared" ca="1" si="3"/>
        <v>4</v>
      </c>
      <c r="N31" s="10">
        <f t="shared" ca="1" si="3"/>
        <v>7</v>
      </c>
      <c r="O31" s="10">
        <f t="shared" ca="1" si="3"/>
        <v>3</v>
      </c>
      <c r="P31" s="10">
        <f t="shared" ca="1" si="3"/>
        <v>4</v>
      </c>
      <c r="Q31" s="10">
        <f t="shared" ca="1" si="3"/>
        <v>5</v>
      </c>
      <c r="AZ31" s="18"/>
      <c r="BA31" s="18"/>
      <c r="BB31" s="18"/>
      <c r="BC31" s="18"/>
      <c r="BD31" s="16"/>
      <c r="BE31" s="18"/>
      <c r="BF31" s="18"/>
      <c r="BG31" s="18"/>
      <c r="BH31" s="18"/>
      <c r="BI31" s="18"/>
      <c r="BJ31" s="18"/>
      <c r="BK31" s="18"/>
      <c r="BL31" s="18"/>
      <c r="BM31" s="18"/>
      <c r="BN31" s="16"/>
      <c r="BO31" s="18"/>
      <c r="BP31" s="18"/>
      <c r="BQ31" s="18"/>
      <c r="BR31" s="18"/>
    </row>
    <row r="32" spans="2:70" x14ac:dyDescent="0.25">
      <c r="B32" s="10">
        <v>11</v>
      </c>
      <c r="C32" s="10">
        <f t="shared" ca="1" si="3"/>
        <v>1</v>
      </c>
      <c r="D32" s="10">
        <f t="shared" ca="1" si="3"/>
        <v>2</v>
      </c>
      <c r="E32" s="10">
        <f t="shared" ca="1" si="3"/>
        <v>6</v>
      </c>
      <c r="F32" s="10">
        <f t="shared" ca="1" si="3"/>
        <v>5</v>
      </c>
      <c r="G32" s="10">
        <f t="shared" ca="1" si="3"/>
        <v>2</v>
      </c>
      <c r="H32" s="10">
        <f t="shared" ca="1" si="3"/>
        <v>5</v>
      </c>
      <c r="I32" s="10">
        <f t="shared" ca="1" si="3"/>
        <v>2</v>
      </c>
      <c r="J32" s="10">
        <f t="shared" ca="1" si="3"/>
        <v>2</v>
      </c>
      <c r="K32" s="10">
        <f t="shared" ca="1" si="3"/>
        <v>8</v>
      </c>
      <c r="L32" s="10">
        <f t="shared" ca="1" si="3"/>
        <v>8</v>
      </c>
      <c r="M32" s="10">
        <f t="shared" ca="1" si="3"/>
        <v>2</v>
      </c>
      <c r="N32" s="10">
        <f t="shared" ca="1" si="3"/>
        <v>5</v>
      </c>
      <c r="O32" s="10">
        <f t="shared" ca="1" si="3"/>
        <v>5</v>
      </c>
      <c r="P32" s="10">
        <f t="shared" ca="1" si="3"/>
        <v>3</v>
      </c>
      <c r="Q32" s="10">
        <f t="shared" ca="1" si="3"/>
        <v>5</v>
      </c>
      <c r="AZ32" s="93">
        <v>2</v>
      </c>
      <c r="BA32" s="93"/>
      <c r="BB32" s="91"/>
      <c r="BC32" s="78"/>
      <c r="BD32" s="93"/>
      <c r="BE32" s="93"/>
      <c r="BF32" s="93"/>
      <c r="BG32" s="93"/>
      <c r="BH32" s="93"/>
      <c r="BI32" s="18"/>
      <c r="BJ32" s="93" t="s">
        <v>26</v>
      </c>
      <c r="BK32" s="93"/>
      <c r="BL32" s="93"/>
      <c r="BM32" s="93"/>
      <c r="BN32" s="93"/>
      <c r="BO32" s="94"/>
      <c r="BP32" s="93"/>
      <c r="BQ32" s="93"/>
      <c r="BR32" s="93"/>
    </row>
    <row r="33" spans="2:70" x14ac:dyDescent="0.25">
      <c r="B33" s="10">
        <v>12</v>
      </c>
      <c r="C33" s="10">
        <f t="shared" ca="1" si="3"/>
        <v>6</v>
      </c>
      <c r="D33" s="10">
        <f t="shared" ca="1" si="3"/>
        <v>7</v>
      </c>
      <c r="E33" s="10">
        <f t="shared" ca="1" si="3"/>
        <v>5</v>
      </c>
      <c r="F33" s="10">
        <f t="shared" ca="1" si="3"/>
        <v>7</v>
      </c>
      <c r="G33" s="10">
        <f t="shared" ca="1" si="3"/>
        <v>6</v>
      </c>
      <c r="H33" s="10">
        <f t="shared" ca="1" si="3"/>
        <v>8</v>
      </c>
      <c r="I33" s="10">
        <f t="shared" ca="1" si="3"/>
        <v>5</v>
      </c>
      <c r="J33" s="10">
        <f t="shared" ca="1" si="3"/>
        <v>6</v>
      </c>
      <c r="K33" s="10">
        <f t="shared" ca="1" si="3"/>
        <v>1</v>
      </c>
      <c r="L33" s="10">
        <f t="shared" ca="1" si="3"/>
        <v>3</v>
      </c>
      <c r="M33" s="10">
        <f t="shared" ca="1" si="3"/>
        <v>4</v>
      </c>
      <c r="N33" s="10">
        <f t="shared" ca="1" si="3"/>
        <v>8</v>
      </c>
      <c r="O33" s="10">
        <f t="shared" ca="1" si="3"/>
        <v>8</v>
      </c>
      <c r="P33" s="10">
        <f t="shared" ca="1" si="3"/>
        <v>7</v>
      </c>
      <c r="Q33" s="10">
        <f t="shared" ca="1" si="3"/>
        <v>4</v>
      </c>
      <c r="AZ33" s="18"/>
      <c r="BA33" s="18"/>
      <c r="BB33" s="18"/>
      <c r="BC33" s="18"/>
      <c r="BD33" s="16"/>
      <c r="BE33" s="18"/>
      <c r="BF33" s="18"/>
      <c r="BG33" s="18"/>
      <c r="BH33" s="18"/>
      <c r="BI33" s="18"/>
      <c r="BJ33" s="18"/>
      <c r="BK33" s="18"/>
      <c r="BL33" s="18"/>
      <c r="BM33" s="18"/>
      <c r="BN33" s="16"/>
      <c r="BO33" s="18"/>
      <c r="BP33" s="18"/>
      <c r="BQ33" s="18"/>
      <c r="BR33" s="18"/>
    </row>
    <row r="34" spans="2:70" x14ac:dyDescent="0.25">
      <c r="AZ34" s="80" t="s">
        <v>26</v>
      </c>
      <c r="BA34" s="81"/>
      <c r="BB34" s="82"/>
      <c r="BC34" s="83"/>
      <c r="BD34" s="16"/>
      <c r="BE34" s="84">
        <v>0</v>
      </c>
      <c r="BF34" s="76"/>
      <c r="BG34" s="130"/>
      <c r="BH34" s="77"/>
      <c r="BI34" s="18"/>
      <c r="BJ34" s="80" t="s">
        <v>26</v>
      </c>
      <c r="BK34" s="81" t="s">
        <v>26</v>
      </c>
      <c r="BL34" s="82"/>
      <c r="BM34" s="83" t="s">
        <v>26</v>
      </c>
      <c r="BN34" s="16"/>
      <c r="BO34" s="84">
        <v>0</v>
      </c>
      <c r="BP34" s="96">
        <v>7</v>
      </c>
      <c r="BQ34" s="130"/>
      <c r="BR34" s="163">
        <v>9</v>
      </c>
    </row>
    <row r="35" spans="2:70" x14ac:dyDescent="0.25">
      <c r="AZ35" s="74"/>
      <c r="BA35" s="65"/>
      <c r="BB35" s="63"/>
      <c r="BC35" s="75"/>
      <c r="BD35" s="16"/>
      <c r="BE35" s="131"/>
      <c r="BF35" s="59"/>
      <c r="BG35" s="132"/>
      <c r="BH35" s="60"/>
      <c r="BI35" s="18"/>
      <c r="BJ35" s="74"/>
      <c r="BK35" s="65"/>
      <c r="BL35" s="63"/>
      <c r="BM35" s="75"/>
      <c r="BN35" s="16"/>
      <c r="BO35" s="131"/>
      <c r="BP35" s="59"/>
      <c r="BQ35" s="132"/>
      <c r="BR35" s="60"/>
    </row>
    <row r="36" spans="2:70" x14ac:dyDescent="0.25">
      <c r="AZ36" s="61"/>
      <c r="BA36" s="63"/>
      <c r="BB36" s="65" t="s">
        <v>26</v>
      </c>
      <c r="BC36" s="67" t="s">
        <v>26</v>
      </c>
      <c r="BD36" s="16"/>
      <c r="BE36" s="69"/>
      <c r="BF36" s="132"/>
      <c r="BG36" s="78">
        <v>1</v>
      </c>
      <c r="BH36" s="152">
        <v>4</v>
      </c>
      <c r="BI36" s="18"/>
      <c r="BJ36" s="61"/>
      <c r="BK36" s="63" t="s">
        <v>26</v>
      </c>
      <c r="BL36" s="65" t="s">
        <v>26</v>
      </c>
      <c r="BM36" s="67" t="s">
        <v>26</v>
      </c>
      <c r="BN36" s="16"/>
      <c r="BO36" s="69"/>
      <c r="BP36" s="97">
        <v>10</v>
      </c>
      <c r="BQ36" s="87">
        <v>3</v>
      </c>
      <c r="BR36" s="79">
        <v>6</v>
      </c>
    </row>
    <row r="37" spans="2:70" x14ac:dyDescent="0.25">
      <c r="AZ37" s="61"/>
      <c r="BA37" s="63"/>
      <c r="BB37" s="65"/>
      <c r="BC37" s="67"/>
      <c r="BD37" s="16"/>
      <c r="BE37" s="69"/>
      <c r="BF37" s="132"/>
      <c r="BG37" s="59"/>
      <c r="BH37" s="133"/>
      <c r="BI37" s="18"/>
      <c r="BJ37" s="61"/>
      <c r="BK37" s="63"/>
      <c r="BL37" s="65"/>
      <c r="BM37" s="67"/>
      <c r="BN37" s="16"/>
      <c r="BO37" s="69"/>
      <c r="BP37" s="132"/>
      <c r="BQ37" s="59"/>
      <c r="BR37" s="133"/>
    </row>
    <row r="38" spans="2:70" x14ac:dyDescent="0.25">
      <c r="AZ38" s="74"/>
      <c r="BA38" s="65" t="s">
        <v>26</v>
      </c>
      <c r="BB38" s="63"/>
      <c r="BC38" s="75"/>
      <c r="BD38" s="16"/>
      <c r="BE38" s="131"/>
      <c r="BF38" s="87">
        <v>3</v>
      </c>
      <c r="BG38" s="132"/>
      <c r="BH38" s="60"/>
      <c r="BI38" s="18"/>
      <c r="BJ38" s="74" t="s">
        <v>26</v>
      </c>
      <c r="BK38" s="65" t="s">
        <v>26</v>
      </c>
      <c r="BL38" s="63" t="s">
        <v>26</v>
      </c>
      <c r="BM38" s="75"/>
      <c r="BN38" s="16"/>
      <c r="BO38" s="92">
        <v>4</v>
      </c>
      <c r="BP38" s="78">
        <v>1</v>
      </c>
      <c r="BQ38" s="88">
        <v>8</v>
      </c>
      <c r="BR38" s="60"/>
    </row>
    <row r="39" spans="2:70" x14ac:dyDescent="0.25">
      <c r="AZ39" s="74"/>
      <c r="BA39" s="65"/>
      <c r="BB39" s="63"/>
      <c r="BC39" s="75"/>
      <c r="BD39" s="16"/>
      <c r="BE39" s="131"/>
      <c r="BF39" s="59"/>
      <c r="BG39" s="132"/>
      <c r="BH39" s="60"/>
      <c r="BI39" s="18"/>
      <c r="BJ39" s="74"/>
      <c r="BK39" s="65"/>
      <c r="BL39" s="63"/>
      <c r="BM39" s="75"/>
      <c r="BN39" s="16"/>
      <c r="BO39" s="131"/>
      <c r="BP39" s="59"/>
      <c r="BQ39" s="132"/>
      <c r="BR39" s="60"/>
    </row>
    <row r="40" spans="2:70" x14ac:dyDescent="0.25">
      <c r="AZ40" s="61"/>
      <c r="BA40" s="63"/>
      <c r="BB40" s="65"/>
      <c r="BC40" s="67" t="s">
        <v>26</v>
      </c>
      <c r="BD40" s="16"/>
      <c r="BE40" s="69"/>
      <c r="BF40" s="132"/>
      <c r="BG40" s="59"/>
      <c r="BH40" s="86">
        <v>2</v>
      </c>
      <c r="BI40" s="18"/>
      <c r="BJ40" s="61"/>
      <c r="BK40" s="63"/>
      <c r="BL40" s="65" t="s">
        <v>26</v>
      </c>
      <c r="BM40" s="67" t="s">
        <v>26</v>
      </c>
      <c r="BN40" s="16"/>
      <c r="BO40" s="69"/>
      <c r="BP40" s="132"/>
      <c r="BQ40" s="58">
        <v>5</v>
      </c>
      <c r="BR40" s="86">
        <v>2</v>
      </c>
    </row>
    <row r="41" spans="2:70" x14ac:dyDescent="0.25">
      <c r="AZ41" s="62"/>
      <c r="BA41" s="64"/>
      <c r="BB41" s="66"/>
      <c r="BC41" s="68"/>
      <c r="BD41" s="16"/>
      <c r="BE41" s="70"/>
      <c r="BF41" s="134"/>
      <c r="BG41" s="73"/>
      <c r="BH41" s="135"/>
      <c r="BI41" s="18"/>
      <c r="BJ41" s="62"/>
      <c r="BK41" s="64"/>
      <c r="BL41" s="66"/>
      <c r="BM41" s="68"/>
      <c r="BN41" s="16"/>
      <c r="BO41" s="70"/>
      <c r="BP41" s="134"/>
      <c r="BQ41" s="73"/>
      <c r="BR41" s="135"/>
    </row>
    <row r="42" spans="2:70" x14ac:dyDescent="0.25">
      <c r="AZ42" s="18"/>
      <c r="BA42" s="18"/>
      <c r="BB42" s="18"/>
      <c r="BC42" s="18"/>
      <c r="BD42" s="16"/>
      <c r="BE42" s="18"/>
      <c r="BF42" s="18"/>
      <c r="BG42" s="18"/>
      <c r="BH42" s="18"/>
      <c r="BI42" s="18"/>
      <c r="BJ42" s="18"/>
      <c r="BK42" s="18"/>
      <c r="BL42" s="18"/>
      <c r="BM42" s="18"/>
      <c r="BN42" s="16"/>
      <c r="BO42" s="18"/>
      <c r="BP42" s="18"/>
      <c r="BQ42" s="18"/>
      <c r="BR42" s="18"/>
    </row>
    <row r="43" spans="2:70" x14ac:dyDescent="0.25">
      <c r="AZ43" s="93">
        <v>3</v>
      </c>
      <c r="BA43" s="93"/>
      <c r="BB43" s="93"/>
      <c r="BC43" s="72"/>
      <c r="BD43" s="93"/>
      <c r="BE43" s="93"/>
      <c r="BF43" s="85"/>
      <c r="BG43" s="93"/>
      <c r="BH43" s="93"/>
      <c r="BI43" s="18"/>
      <c r="BJ43" s="93">
        <v>9</v>
      </c>
      <c r="BK43" s="93"/>
      <c r="BL43" s="93"/>
      <c r="BM43" s="93"/>
      <c r="BN43" s="93"/>
      <c r="BO43" s="93"/>
      <c r="BP43" s="93"/>
      <c r="BQ43" s="93"/>
      <c r="BR43" s="93"/>
    </row>
    <row r="44" spans="2:70" x14ac:dyDescent="0.25">
      <c r="AZ44" s="18"/>
      <c r="BA44" s="18"/>
      <c r="BB44" s="18"/>
      <c r="BC44" s="18"/>
      <c r="BD44" s="16"/>
      <c r="BE44" s="18"/>
      <c r="BF44" s="18"/>
      <c r="BG44" s="18"/>
      <c r="BH44" s="18"/>
      <c r="BI44" s="18"/>
      <c r="BJ44" s="18"/>
      <c r="BK44" s="18"/>
      <c r="BL44" s="18"/>
      <c r="BM44" s="18"/>
      <c r="BN44" s="16"/>
      <c r="BO44" s="18"/>
      <c r="BP44" s="18"/>
      <c r="BQ44" s="18"/>
      <c r="BR44" s="18"/>
    </row>
    <row r="45" spans="2:70" x14ac:dyDescent="0.25">
      <c r="AZ45" s="80" t="s">
        <v>26</v>
      </c>
      <c r="BA45" s="81"/>
      <c r="BB45" s="82"/>
      <c r="BC45" s="83"/>
      <c r="BD45" s="16"/>
      <c r="BE45" s="84">
        <v>0</v>
      </c>
      <c r="BF45" s="76"/>
      <c r="BG45" s="130"/>
      <c r="BH45" s="77"/>
      <c r="BI45" s="18"/>
      <c r="BJ45" s="80" t="s">
        <v>26</v>
      </c>
      <c r="BK45" s="81" t="s">
        <v>26</v>
      </c>
      <c r="BL45" s="82" t="s">
        <v>26</v>
      </c>
      <c r="BM45" s="83"/>
      <c r="BN45" s="16"/>
      <c r="BO45" s="84">
        <v>0</v>
      </c>
      <c r="BP45" s="96">
        <v>7</v>
      </c>
      <c r="BQ45" s="170">
        <v>10</v>
      </c>
      <c r="BR45" s="77"/>
    </row>
    <row r="46" spans="2:70" x14ac:dyDescent="0.25">
      <c r="AZ46" s="74"/>
      <c r="BA46" s="65"/>
      <c r="BB46" s="63"/>
      <c r="BC46" s="75"/>
      <c r="BD46" s="16"/>
      <c r="BE46" s="131"/>
      <c r="BF46" s="59"/>
      <c r="BG46" s="132"/>
      <c r="BH46" s="60"/>
      <c r="BI46" s="18"/>
      <c r="BJ46" s="74"/>
      <c r="BK46" s="65"/>
      <c r="BL46" s="63"/>
      <c r="BM46" s="75"/>
      <c r="BN46" s="16"/>
      <c r="BO46" s="131"/>
      <c r="BP46" s="59"/>
      <c r="BQ46" s="132"/>
      <c r="BR46" s="60"/>
    </row>
    <row r="47" spans="2:70" x14ac:dyDescent="0.25">
      <c r="AZ47" s="61"/>
      <c r="BA47" s="63"/>
      <c r="BB47" s="65" t="s">
        <v>26</v>
      </c>
      <c r="BC47" s="67"/>
      <c r="BD47" s="16"/>
      <c r="BE47" s="69"/>
      <c r="BF47" s="132"/>
      <c r="BG47" s="78">
        <v>1</v>
      </c>
      <c r="BH47" s="133"/>
      <c r="BI47" s="18"/>
      <c r="BJ47" s="61" t="s">
        <v>26</v>
      </c>
      <c r="BK47" s="63"/>
      <c r="BL47" s="65" t="s">
        <v>26</v>
      </c>
      <c r="BM47" s="67" t="s">
        <v>26</v>
      </c>
      <c r="BN47" s="16"/>
      <c r="BO47" s="89">
        <v>9</v>
      </c>
      <c r="BP47" s="132"/>
      <c r="BQ47" s="87">
        <v>3</v>
      </c>
      <c r="BR47" s="79">
        <v>6</v>
      </c>
    </row>
    <row r="48" spans="2:70" x14ac:dyDescent="0.25">
      <c r="AZ48" s="61"/>
      <c r="BA48" s="63"/>
      <c r="BB48" s="65"/>
      <c r="BC48" s="67"/>
      <c r="BD48" s="16"/>
      <c r="BE48" s="69"/>
      <c r="BF48" s="132"/>
      <c r="BG48" s="59"/>
      <c r="BH48" s="133"/>
      <c r="BI48" s="18"/>
      <c r="BJ48" s="61"/>
      <c r="BK48" s="63"/>
      <c r="BL48" s="65"/>
      <c r="BM48" s="67"/>
      <c r="BN48" s="16"/>
      <c r="BO48" s="69"/>
      <c r="BP48" s="132"/>
      <c r="BQ48" s="59"/>
      <c r="BR48" s="133"/>
    </row>
    <row r="49" spans="52:70" x14ac:dyDescent="0.25">
      <c r="AZ49" s="74"/>
      <c r="BA49" s="65" t="s">
        <v>26</v>
      </c>
      <c r="BB49" s="63"/>
      <c r="BC49" s="75"/>
      <c r="BD49" s="16"/>
      <c r="BE49" s="131"/>
      <c r="BF49" s="87">
        <v>3</v>
      </c>
      <c r="BG49" s="132"/>
      <c r="BH49" s="60"/>
      <c r="BI49" s="18"/>
      <c r="BJ49" s="74" t="s">
        <v>26</v>
      </c>
      <c r="BK49" s="65" t="s">
        <v>26</v>
      </c>
      <c r="BL49" s="63" t="s">
        <v>26</v>
      </c>
      <c r="BM49" s="75"/>
      <c r="BN49" s="16"/>
      <c r="BO49" s="92">
        <v>4</v>
      </c>
      <c r="BP49" s="78">
        <v>1</v>
      </c>
      <c r="BQ49" s="88">
        <v>8</v>
      </c>
      <c r="BR49" s="60"/>
    </row>
    <row r="50" spans="52:70" x14ac:dyDescent="0.25">
      <c r="AZ50" s="74"/>
      <c r="BA50" s="65"/>
      <c r="BB50" s="63"/>
      <c r="BC50" s="75"/>
      <c r="BD50" s="16"/>
      <c r="BE50" s="131"/>
      <c r="BF50" s="59"/>
      <c r="BG50" s="132"/>
      <c r="BH50" s="60"/>
      <c r="BI50" s="18"/>
      <c r="BJ50" s="74"/>
      <c r="BK50" s="65"/>
      <c r="BL50" s="63"/>
      <c r="BM50" s="75"/>
      <c r="BN50" s="16"/>
      <c r="BO50" s="131"/>
      <c r="BP50" s="59"/>
      <c r="BQ50" s="132"/>
      <c r="BR50" s="60"/>
    </row>
    <row r="51" spans="52:70" x14ac:dyDescent="0.25">
      <c r="AZ51" s="61"/>
      <c r="BA51" s="63"/>
      <c r="BB51" s="65"/>
      <c r="BC51" s="67" t="s">
        <v>26</v>
      </c>
      <c r="BD51" s="16"/>
      <c r="BE51" s="69"/>
      <c r="BF51" s="132"/>
      <c r="BG51" s="59"/>
      <c r="BH51" s="86">
        <v>2</v>
      </c>
      <c r="BI51" s="18"/>
      <c r="BJ51" s="61"/>
      <c r="BK51" s="63"/>
      <c r="BL51" s="65" t="s">
        <v>26</v>
      </c>
      <c r="BM51" s="67" t="s">
        <v>26</v>
      </c>
      <c r="BN51" s="16"/>
      <c r="BO51" s="69"/>
      <c r="BP51" s="132"/>
      <c r="BQ51" s="58">
        <v>5</v>
      </c>
      <c r="BR51" s="86">
        <v>2</v>
      </c>
    </row>
    <row r="52" spans="52:70" x14ac:dyDescent="0.25">
      <c r="AZ52" s="62"/>
      <c r="BA52" s="64"/>
      <c r="BB52" s="66"/>
      <c r="BC52" s="68"/>
      <c r="BD52" s="16"/>
      <c r="BE52" s="70"/>
      <c r="BF52" s="134"/>
      <c r="BG52" s="73"/>
      <c r="BH52" s="135"/>
      <c r="BI52" s="18"/>
      <c r="BJ52" s="62"/>
      <c r="BK52" s="64"/>
      <c r="BL52" s="66"/>
      <c r="BM52" s="68"/>
      <c r="BN52" s="16"/>
      <c r="BO52" s="70"/>
      <c r="BP52" s="134"/>
      <c r="BQ52" s="73"/>
      <c r="BR52" s="135"/>
    </row>
    <row r="53" spans="52:70" x14ac:dyDescent="0.25">
      <c r="AZ53" s="18"/>
      <c r="BA53" s="18"/>
      <c r="BB53" s="18"/>
      <c r="BC53" s="18"/>
      <c r="BD53" s="16"/>
      <c r="BE53" s="18"/>
      <c r="BF53" s="18"/>
      <c r="BG53" s="18"/>
      <c r="BH53" s="18"/>
      <c r="BI53" s="18"/>
      <c r="BJ53" s="18"/>
      <c r="BK53" s="18"/>
      <c r="BL53" s="18"/>
      <c r="BM53" s="18"/>
      <c r="BN53" s="16"/>
      <c r="BO53" s="18"/>
      <c r="BP53" s="18"/>
      <c r="BQ53" s="18"/>
      <c r="BR53" s="18"/>
    </row>
    <row r="54" spans="52:70" x14ac:dyDescent="0.25">
      <c r="AZ54" s="93">
        <v>4</v>
      </c>
      <c r="BA54" s="93"/>
      <c r="BB54" s="93"/>
      <c r="BC54" s="93"/>
      <c r="BD54" s="93"/>
      <c r="BE54" s="93"/>
      <c r="BF54" s="93"/>
      <c r="BG54" s="78"/>
      <c r="BH54" s="93"/>
      <c r="BI54" s="18"/>
      <c r="BJ54" s="93">
        <v>10</v>
      </c>
      <c r="BK54" s="93"/>
      <c r="BL54" s="97"/>
      <c r="BM54" s="98"/>
      <c r="BN54" s="93"/>
      <c r="BO54" s="93"/>
      <c r="BP54" s="91"/>
      <c r="BQ54" s="94"/>
      <c r="BR54" s="85"/>
    </row>
    <row r="55" spans="52:70" x14ac:dyDescent="0.25">
      <c r="AZ55" s="18"/>
      <c r="BA55" s="18"/>
      <c r="BB55" s="18"/>
      <c r="BC55" s="18"/>
      <c r="BD55" s="16"/>
      <c r="BE55" s="18"/>
      <c r="BF55" s="18"/>
      <c r="BG55" s="18"/>
      <c r="BH55" s="18"/>
      <c r="BI55" s="18"/>
      <c r="BJ55" s="18"/>
      <c r="BK55" s="18"/>
      <c r="BL55" s="18"/>
      <c r="BM55" s="18"/>
      <c r="BN55" s="16"/>
      <c r="BO55" s="18"/>
      <c r="BP55" s="18"/>
      <c r="BQ55" s="18"/>
      <c r="BR55" s="18"/>
    </row>
    <row r="56" spans="52:70" x14ac:dyDescent="0.25">
      <c r="AZ56" s="80" t="s">
        <v>26</v>
      </c>
      <c r="BA56" s="81" t="s">
        <v>26</v>
      </c>
      <c r="BB56" s="82"/>
      <c r="BC56" s="83"/>
      <c r="BD56" s="16"/>
      <c r="BE56" s="84">
        <v>0</v>
      </c>
      <c r="BF56" s="169">
        <v>5</v>
      </c>
      <c r="BG56" s="130"/>
      <c r="BH56" s="77"/>
      <c r="BI56" s="18"/>
      <c r="BJ56" s="80" t="s">
        <v>26</v>
      </c>
      <c r="BK56" s="81"/>
      <c r="BL56" s="82"/>
      <c r="BM56" s="83"/>
      <c r="BN56" s="16"/>
      <c r="BO56" s="84">
        <v>0</v>
      </c>
      <c r="BP56" s="76"/>
      <c r="BQ56" s="130"/>
      <c r="BR56" s="77"/>
    </row>
    <row r="57" spans="52:70" x14ac:dyDescent="0.25">
      <c r="AZ57" s="74"/>
      <c r="BA57" s="65"/>
      <c r="BB57" s="63"/>
      <c r="BC57" s="75"/>
      <c r="BD57" s="16"/>
      <c r="BE57" s="131"/>
      <c r="BF57" s="59"/>
      <c r="BG57" s="132"/>
      <c r="BH57" s="60"/>
      <c r="BI57" s="18"/>
      <c r="BJ57" s="74"/>
      <c r="BK57" s="65"/>
      <c r="BL57" s="63"/>
      <c r="BM57" s="75"/>
      <c r="BN57" s="16"/>
      <c r="BO57" s="131"/>
      <c r="BP57" s="59"/>
      <c r="BQ57" s="132"/>
      <c r="BR57" s="60"/>
    </row>
    <row r="58" spans="52:70" x14ac:dyDescent="0.25">
      <c r="AZ58" s="61"/>
      <c r="BA58" s="63"/>
      <c r="BB58" s="65" t="s">
        <v>26</v>
      </c>
      <c r="BC58" s="67"/>
      <c r="BD58" s="16"/>
      <c r="BE58" s="69"/>
      <c r="BF58" s="132"/>
      <c r="BG58" s="87">
        <v>3</v>
      </c>
      <c r="BH58" s="133"/>
      <c r="BI58" s="18"/>
      <c r="BJ58" s="61"/>
      <c r="BK58" s="63"/>
      <c r="BL58" s="65" t="s">
        <v>26</v>
      </c>
      <c r="BM58" s="67" t="s">
        <v>26</v>
      </c>
      <c r="BN58" s="16"/>
      <c r="BO58" s="69"/>
      <c r="BP58" s="132"/>
      <c r="BQ58" s="87">
        <v>3</v>
      </c>
      <c r="BR58" s="79">
        <v>6</v>
      </c>
    </row>
    <row r="59" spans="52:70" x14ac:dyDescent="0.25">
      <c r="AZ59" s="61"/>
      <c r="BA59" s="63"/>
      <c r="BB59" s="65"/>
      <c r="BC59" s="67"/>
      <c r="BD59" s="16"/>
      <c r="BE59" s="69"/>
      <c r="BF59" s="132"/>
      <c r="BG59" s="59"/>
      <c r="BH59" s="133"/>
      <c r="BI59" s="18"/>
      <c r="BJ59" s="61"/>
      <c r="BK59" s="63"/>
      <c r="BL59" s="65"/>
      <c r="BM59" s="67"/>
      <c r="BN59" s="16"/>
      <c r="BO59" s="69"/>
      <c r="BP59" s="132"/>
      <c r="BQ59" s="59"/>
      <c r="BR59" s="133"/>
    </row>
    <row r="60" spans="52:70" x14ac:dyDescent="0.25">
      <c r="AZ60" s="74" t="s">
        <v>26</v>
      </c>
      <c r="BA60" s="65" t="s">
        <v>26</v>
      </c>
      <c r="BB60" s="63"/>
      <c r="BC60" s="75"/>
      <c r="BD60" s="16"/>
      <c r="BE60" s="92">
        <v>4</v>
      </c>
      <c r="BF60" s="78">
        <v>1</v>
      </c>
      <c r="BG60" s="132"/>
      <c r="BH60" s="60"/>
      <c r="BI60" s="18"/>
      <c r="BJ60" s="74" t="s">
        <v>26</v>
      </c>
      <c r="BK60" s="65" t="s">
        <v>26</v>
      </c>
      <c r="BL60" s="63"/>
      <c r="BM60" s="75"/>
      <c r="BN60" s="16"/>
      <c r="BO60" s="92">
        <v>4</v>
      </c>
      <c r="BP60" s="78">
        <v>1</v>
      </c>
      <c r="BQ60" s="132"/>
      <c r="BR60" s="60"/>
    </row>
    <row r="61" spans="52:70" x14ac:dyDescent="0.25">
      <c r="AZ61" s="74"/>
      <c r="BA61" s="65"/>
      <c r="BB61" s="63"/>
      <c r="BC61" s="75"/>
      <c r="BD61" s="16"/>
      <c r="BE61" s="131"/>
      <c r="BF61" s="59"/>
      <c r="BG61" s="132"/>
      <c r="BH61" s="60"/>
      <c r="BI61" s="18"/>
      <c r="BJ61" s="74"/>
      <c r="BK61" s="65"/>
      <c r="BL61" s="63"/>
      <c r="BM61" s="75"/>
      <c r="BN61" s="16"/>
      <c r="BO61" s="131"/>
      <c r="BP61" s="59"/>
      <c r="BQ61" s="132"/>
      <c r="BR61" s="60"/>
    </row>
    <row r="62" spans="52:70" x14ac:dyDescent="0.25">
      <c r="AZ62" s="61"/>
      <c r="BA62" s="63"/>
      <c r="BB62" s="65"/>
      <c r="BC62" s="67" t="s">
        <v>26</v>
      </c>
      <c r="BD62" s="16"/>
      <c r="BE62" s="69"/>
      <c r="BF62" s="132"/>
      <c r="BG62" s="59"/>
      <c r="BH62" s="86">
        <v>2</v>
      </c>
      <c r="BI62" s="18"/>
      <c r="BJ62" s="61"/>
      <c r="BK62" s="63"/>
      <c r="BL62" s="65" t="s">
        <v>26</v>
      </c>
      <c r="BM62" s="67" t="s">
        <v>26</v>
      </c>
      <c r="BN62" s="16"/>
      <c r="BO62" s="69"/>
      <c r="BP62" s="132"/>
      <c r="BQ62" s="58">
        <v>5</v>
      </c>
      <c r="BR62" s="86">
        <v>2</v>
      </c>
    </row>
    <row r="63" spans="52:70" x14ac:dyDescent="0.25">
      <c r="AZ63" s="62"/>
      <c r="BA63" s="64"/>
      <c r="BB63" s="66"/>
      <c r="BC63" s="68"/>
      <c r="BD63" s="16"/>
      <c r="BE63" s="70"/>
      <c r="BF63" s="134"/>
      <c r="BG63" s="73"/>
      <c r="BH63" s="135"/>
      <c r="BI63" s="18"/>
      <c r="BJ63" s="62"/>
      <c r="BK63" s="64"/>
      <c r="BL63" s="66"/>
      <c r="BM63" s="68"/>
      <c r="BN63" s="16"/>
      <c r="BO63" s="70"/>
      <c r="BP63" s="134"/>
      <c r="BQ63" s="73"/>
      <c r="BR63" s="135"/>
    </row>
    <row r="64" spans="52:70" x14ac:dyDescent="0.25">
      <c r="AZ64" s="18"/>
      <c r="BA64" s="18"/>
      <c r="BB64" s="18"/>
      <c r="BC64" s="18"/>
      <c r="BD64" s="16"/>
      <c r="BE64" s="18"/>
      <c r="BF64" s="18"/>
      <c r="BG64" s="18"/>
      <c r="BH64" s="18"/>
      <c r="BI64" s="18"/>
      <c r="BJ64" s="18"/>
      <c r="BK64" s="18"/>
      <c r="BL64" s="18"/>
      <c r="BM64" s="18"/>
      <c r="BN64" s="16"/>
      <c r="BO64" s="18"/>
      <c r="BP64" s="18"/>
      <c r="BQ64" s="18"/>
      <c r="BR64" s="18"/>
    </row>
    <row r="65" spans="52:70" x14ac:dyDescent="0.25">
      <c r="AZ65" s="93">
        <v>5</v>
      </c>
      <c r="BA65" s="93"/>
      <c r="BB65" s="93"/>
      <c r="BC65" s="93"/>
      <c r="BD65" s="93"/>
      <c r="BE65" s="93"/>
      <c r="BF65" s="97"/>
      <c r="BG65" s="93"/>
      <c r="BH65" s="93"/>
      <c r="BI65" s="18"/>
      <c r="BJ65" s="93" t="s">
        <v>26</v>
      </c>
      <c r="BK65" s="58"/>
      <c r="BL65" s="93"/>
      <c r="BM65" s="87"/>
      <c r="BN65" s="93"/>
      <c r="BO65" s="94"/>
      <c r="BP65" s="93"/>
      <c r="BQ65" s="93"/>
      <c r="BR65" s="93"/>
    </row>
    <row r="66" spans="52:70" x14ac:dyDescent="0.25">
      <c r="AZ66" s="18"/>
      <c r="BA66" s="18"/>
      <c r="BB66" s="18"/>
      <c r="BC66" s="18"/>
      <c r="BD66" s="16"/>
      <c r="BE66" s="18"/>
      <c r="BF66" s="18"/>
      <c r="BG66" s="18"/>
      <c r="BH66" s="18"/>
      <c r="BI66" s="18"/>
      <c r="BJ66" s="18"/>
      <c r="BK66" s="18"/>
      <c r="BL66" s="18"/>
      <c r="BM66" s="18"/>
      <c r="BN66" s="16"/>
      <c r="BO66" s="18"/>
      <c r="BP66" s="18"/>
      <c r="BQ66" s="18"/>
      <c r="BR66" s="18"/>
    </row>
    <row r="67" spans="52:70" x14ac:dyDescent="0.25">
      <c r="AZ67" s="80" t="s">
        <v>26</v>
      </c>
      <c r="BA67" s="81" t="s">
        <v>26</v>
      </c>
      <c r="BB67" s="82" t="s">
        <v>26</v>
      </c>
      <c r="BC67" s="83"/>
      <c r="BD67" s="16"/>
      <c r="BE67" s="84">
        <v>0</v>
      </c>
      <c r="BF67" s="96">
        <v>7</v>
      </c>
      <c r="BG67" s="170">
        <v>10</v>
      </c>
      <c r="BH67" s="77"/>
      <c r="BI67" s="18"/>
      <c r="BJ67" s="80" t="s">
        <v>26</v>
      </c>
      <c r="BK67" s="81" t="s">
        <v>26</v>
      </c>
      <c r="BL67" s="82"/>
      <c r="BM67" s="83"/>
      <c r="BN67" s="16"/>
      <c r="BO67" s="84">
        <v>0</v>
      </c>
      <c r="BP67" s="96">
        <v>7</v>
      </c>
      <c r="BQ67" s="130"/>
      <c r="BR67" s="77"/>
    </row>
    <row r="68" spans="52:70" x14ac:dyDescent="0.25">
      <c r="AZ68" s="74"/>
      <c r="BA68" s="65"/>
      <c r="BB68" s="63"/>
      <c r="BC68" s="75"/>
      <c r="BD68" s="16"/>
      <c r="BE68" s="131"/>
      <c r="BF68" s="59"/>
      <c r="BG68" s="132"/>
      <c r="BH68" s="60"/>
      <c r="BI68" s="18"/>
      <c r="BJ68" s="74"/>
      <c r="BK68" s="65"/>
      <c r="BL68" s="63"/>
      <c r="BM68" s="75"/>
      <c r="BN68" s="16"/>
      <c r="BO68" s="131"/>
      <c r="BP68" s="59"/>
      <c r="BQ68" s="132"/>
      <c r="BR68" s="60"/>
    </row>
    <row r="69" spans="52:70" x14ac:dyDescent="0.25">
      <c r="AZ69" s="61" t="s">
        <v>26</v>
      </c>
      <c r="BA69" s="63"/>
      <c r="BB69" s="65" t="s">
        <v>26</v>
      </c>
      <c r="BC69" s="67" t="s">
        <v>26</v>
      </c>
      <c r="BD69" s="16"/>
      <c r="BE69" s="89">
        <v>9</v>
      </c>
      <c r="BF69" s="132"/>
      <c r="BG69" s="87">
        <v>3</v>
      </c>
      <c r="BH69" s="79">
        <v>6</v>
      </c>
      <c r="BI69" s="18"/>
      <c r="BJ69" s="61"/>
      <c r="BK69" s="63"/>
      <c r="BL69" s="65" t="s">
        <v>26</v>
      </c>
      <c r="BM69" s="67" t="s">
        <v>26</v>
      </c>
      <c r="BN69" s="16"/>
      <c r="BO69" s="69"/>
      <c r="BP69" s="132"/>
      <c r="BQ69" s="87">
        <v>3</v>
      </c>
      <c r="BR69" s="79">
        <v>6</v>
      </c>
    </row>
    <row r="70" spans="52:70" x14ac:dyDescent="0.25">
      <c r="AZ70" s="61"/>
      <c r="BA70" s="63"/>
      <c r="BB70" s="65"/>
      <c r="BC70" s="67"/>
      <c r="BD70" s="16"/>
      <c r="BE70" s="69"/>
      <c r="BF70" s="132"/>
      <c r="BG70" s="59"/>
      <c r="BH70" s="133"/>
      <c r="BI70" s="18"/>
      <c r="BJ70" s="61"/>
      <c r="BK70" s="63"/>
      <c r="BL70" s="65"/>
      <c r="BM70" s="67"/>
      <c r="BN70" s="16"/>
      <c r="BO70" s="69"/>
      <c r="BP70" s="132"/>
      <c r="BQ70" s="59"/>
      <c r="BR70" s="133"/>
    </row>
    <row r="71" spans="52:70" x14ac:dyDescent="0.25">
      <c r="AZ71" s="74" t="s">
        <v>26</v>
      </c>
      <c r="BA71" s="65" t="s">
        <v>26</v>
      </c>
      <c r="BB71" s="63" t="s">
        <v>26</v>
      </c>
      <c r="BC71" s="75" t="s">
        <v>26</v>
      </c>
      <c r="BD71" s="16"/>
      <c r="BE71" s="92">
        <v>4</v>
      </c>
      <c r="BF71" s="78">
        <v>1</v>
      </c>
      <c r="BG71" s="88">
        <v>8</v>
      </c>
      <c r="BH71" s="164">
        <v>11</v>
      </c>
      <c r="BI71" s="18"/>
      <c r="BJ71" s="74" t="s">
        <v>26</v>
      </c>
      <c r="BK71" s="65" t="s">
        <v>26</v>
      </c>
      <c r="BL71" s="63"/>
      <c r="BM71" s="75"/>
      <c r="BN71" s="16"/>
      <c r="BO71" s="92">
        <v>4</v>
      </c>
      <c r="BP71" s="78">
        <v>1</v>
      </c>
      <c r="BQ71" s="132"/>
      <c r="BR71" s="60"/>
    </row>
    <row r="72" spans="52:70" x14ac:dyDescent="0.25">
      <c r="AZ72" s="74"/>
      <c r="BA72" s="65"/>
      <c r="BB72" s="63"/>
      <c r="BC72" s="75"/>
      <c r="BD72" s="16"/>
      <c r="BE72" s="131"/>
      <c r="BF72" s="59"/>
      <c r="BG72" s="132"/>
      <c r="BH72" s="60"/>
      <c r="BI72" s="18"/>
      <c r="BJ72" s="74"/>
      <c r="BK72" s="65"/>
      <c r="BL72" s="63"/>
      <c r="BM72" s="75"/>
      <c r="BN72" s="16"/>
      <c r="BO72" s="131"/>
      <c r="BP72" s="59"/>
      <c r="BQ72" s="132"/>
      <c r="BR72" s="60"/>
    </row>
    <row r="73" spans="52:70" x14ac:dyDescent="0.25">
      <c r="AZ73" s="61"/>
      <c r="BA73" s="63"/>
      <c r="BB73" s="65" t="s">
        <v>26</v>
      </c>
      <c r="BC73" s="67" t="s">
        <v>26</v>
      </c>
      <c r="BD73" s="16"/>
      <c r="BE73" s="69"/>
      <c r="BF73" s="132"/>
      <c r="BG73" s="58">
        <v>5</v>
      </c>
      <c r="BH73" s="86">
        <v>2</v>
      </c>
      <c r="BI73" s="18"/>
      <c r="BJ73" s="61"/>
      <c r="BK73" s="63"/>
      <c r="BL73" s="65" t="s">
        <v>26</v>
      </c>
      <c r="BM73" s="67" t="s">
        <v>26</v>
      </c>
      <c r="BN73" s="16"/>
      <c r="BO73" s="69"/>
      <c r="BP73" s="132"/>
      <c r="BQ73" s="58">
        <v>5</v>
      </c>
      <c r="BR73" s="86">
        <v>2</v>
      </c>
    </row>
    <row r="74" spans="52:70" x14ac:dyDescent="0.25">
      <c r="AZ74" s="62"/>
      <c r="BA74" s="64"/>
      <c r="BB74" s="66"/>
      <c r="BC74" s="68"/>
      <c r="BD74" s="16"/>
      <c r="BE74" s="70"/>
      <c r="BF74" s="134"/>
      <c r="BG74" s="73"/>
      <c r="BH74" s="135"/>
      <c r="BI74" s="18"/>
      <c r="BJ74" s="62"/>
      <c r="BK74" s="64"/>
      <c r="BL74" s="66"/>
      <c r="BM74" s="68"/>
      <c r="BN74" s="16"/>
      <c r="BO74" s="70"/>
      <c r="BP74" s="134"/>
      <c r="BQ74" s="73"/>
      <c r="BR74" s="135"/>
    </row>
    <row r="75" spans="52:70" x14ac:dyDescent="0.25">
      <c r="AZ75" s="18"/>
      <c r="BA75" s="18"/>
      <c r="BB75" s="18"/>
      <c r="BC75" s="18"/>
      <c r="BD75" s="16"/>
      <c r="BE75" s="18"/>
      <c r="BF75" s="18"/>
      <c r="BG75" s="18"/>
      <c r="BH75" s="18"/>
      <c r="BI75" s="18"/>
      <c r="BJ75" s="18"/>
      <c r="BK75" s="18"/>
      <c r="BL75" s="18"/>
      <c r="BM75" s="18"/>
      <c r="BN75" s="16"/>
      <c r="BO75" s="18"/>
      <c r="BP75" s="18"/>
      <c r="BQ75" s="18"/>
      <c r="BR75" s="18"/>
    </row>
    <row r="76" spans="52:70" x14ac:dyDescent="0.25">
      <c r="AZ76" s="93" t="s">
        <v>26</v>
      </c>
      <c r="BA76" s="93"/>
      <c r="BB76" s="93"/>
      <c r="BC76" s="93"/>
      <c r="BD76" s="93"/>
      <c r="BE76" s="58"/>
      <c r="BF76" s="93"/>
      <c r="BG76" s="93"/>
      <c r="BH76" s="93"/>
      <c r="BI76" s="18"/>
      <c r="BJ76" s="93">
        <v>12</v>
      </c>
      <c r="BK76" s="93"/>
      <c r="BL76" s="93"/>
      <c r="BM76" s="93"/>
      <c r="BN76" s="93"/>
      <c r="BO76" s="93"/>
      <c r="BP76" s="95"/>
      <c r="BQ76" s="93"/>
      <c r="BR76" s="93"/>
    </row>
    <row r="77" spans="52:70" x14ac:dyDescent="0.25">
      <c r="AZ77" s="18"/>
      <c r="BA77" s="18"/>
      <c r="BB77" s="18"/>
      <c r="BC77" s="18"/>
      <c r="BD77" s="16"/>
      <c r="BE77" s="18"/>
      <c r="BF77" s="18"/>
      <c r="BG77" s="18"/>
      <c r="BH77" s="18"/>
      <c r="BI77" s="18"/>
      <c r="BJ77" s="18"/>
      <c r="BK77" s="18"/>
      <c r="BL77" s="18"/>
      <c r="BM77" s="18"/>
      <c r="BN77" s="16"/>
      <c r="BO77" s="18"/>
      <c r="BP77" s="18"/>
      <c r="BQ77" s="18"/>
      <c r="BR77" s="18"/>
    </row>
    <row r="78" spans="52:70" x14ac:dyDescent="0.25">
      <c r="AZ78" s="80" t="s">
        <v>26</v>
      </c>
      <c r="BA78" s="81" t="s">
        <v>26</v>
      </c>
      <c r="BB78" s="82"/>
      <c r="BC78" s="83"/>
      <c r="BD78" s="16"/>
      <c r="BE78" s="84">
        <v>0</v>
      </c>
      <c r="BF78" s="96">
        <v>7</v>
      </c>
      <c r="BG78" s="130"/>
      <c r="BH78" s="77"/>
      <c r="BI78" s="18"/>
      <c r="BJ78" s="80" t="s">
        <v>26</v>
      </c>
      <c r="BK78" s="81"/>
      <c r="BL78" s="82"/>
      <c r="BM78" s="83" t="s">
        <v>26</v>
      </c>
      <c r="BN78" s="16"/>
      <c r="BO78" s="84">
        <v>0</v>
      </c>
      <c r="BP78" s="76"/>
      <c r="BQ78" s="130"/>
      <c r="BR78" s="155">
        <v>7</v>
      </c>
    </row>
    <row r="79" spans="52:70" x14ac:dyDescent="0.25">
      <c r="AZ79" s="74"/>
      <c r="BA79" s="65"/>
      <c r="BB79" s="63"/>
      <c r="BC79" s="75"/>
      <c r="BD79" s="16"/>
      <c r="BE79" s="131"/>
      <c r="BF79" s="59"/>
      <c r="BG79" s="132"/>
      <c r="BH79" s="60"/>
      <c r="BI79" s="18"/>
      <c r="BJ79" s="74"/>
      <c r="BK79" s="65"/>
      <c r="BL79" s="63"/>
      <c r="BM79" s="75"/>
      <c r="BN79" s="16"/>
      <c r="BO79" s="131"/>
      <c r="BP79" s="59"/>
      <c r="BQ79" s="132"/>
      <c r="BR79" s="60"/>
    </row>
    <row r="80" spans="52:70" x14ac:dyDescent="0.25">
      <c r="AZ80" s="61"/>
      <c r="BA80" s="63"/>
      <c r="BB80" s="65" t="s">
        <v>26</v>
      </c>
      <c r="BC80" s="67" t="s">
        <v>26</v>
      </c>
      <c r="BD80" s="16"/>
      <c r="BE80" s="69"/>
      <c r="BF80" s="132"/>
      <c r="BG80" s="87">
        <v>3</v>
      </c>
      <c r="BH80" s="79">
        <v>6</v>
      </c>
      <c r="BI80" s="18"/>
      <c r="BJ80" s="61"/>
      <c r="BK80" s="63" t="s">
        <v>26</v>
      </c>
      <c r="BL80" s="65" t="s">
        <v>26</v>
      </c>
      <c r="BM80" s="67"/>
      <c r="BN80" s="16"/>
      <c r="BO80" s="69"/>
      <c r="BP80" s="91">
        <v>6</v>
      </c>
      <c r="BQ80" s="87">
        <v>3</v>
      </c>
      <c r="BR80" s="133"/>
    </row>
    <row r="81" spans="52:70" x14ac:dyDescent="0.25">
      <c r="AZ81" s="61"/>
      <c r="BA81" s="63"/>
      <c r="BB81" s="65"/>
      <c r="BC81" s="67"/>
      <c r="BD81" s="16"/>
      <c r="BE81" s="69"/>
      <c r="BF81" s="132"/>
      <c r="BG81" s="59"/>
      <c r="BH81" s="133"/>
      <c r="BI81" s="18"/>
      <c r="BJ81" s="61"/>
      <c r="BK81" s="63"/>
      <c r="BL81" s="65"/>
      <c r="BM81" s="67"/>
      <c r="BN81" s="16"/>
      <c r="BO81" s="69"/>
      <c r="BP81" s="132"/>
      <c r="BQ81" s="59"/>
      <c r="BR81" s="133"/>
    </row>
    <row r="82" spans="52:70" x14ac:dyDescent="0.25">
      <c r="AZ82" s="74" t="s">
        <v>26</v>
      </c>
      <c r="BA82" s="65" t="s">
        <v>26</v>
      </c>
      <c r="BB82" s="63" t="s">
        <v>26</v>
      </c>
      <c r="BC82" s="75"/>
      <c r="BD82" s="16"/>
      <c r="BE82" s="92">
        <v>4</v>
      </c>
      <c r="BF82" s="78">
        <v>1</v>
      </c>
      <c r="BG82" s="88">
        <v>8</v>
      </c>
      <c r="BH82" s="60"/>
      <c r="BI82" s="18"/>
      <c r="BJ82" s="74" t="s">
        <v>26</v>
      </c>
      <c r="BK82" s="65" t="s">
        <v>26</v>
      </c>
      <c r="BL82" s="63" t="s">
        <v>26</v>
      </c>
      <c r="BM82" s="75"/>
      <c r="BN82" s="16"/>
      <c r="BO82" s="92">
        <v>4</v>
      </c>
      <c r="BP82" s="78">
        <v>1</v>
      </c>
      <c r="BQ82" s="88">
        <v>8</v>
      </c>
      <c r="BR82" s="60"/>
    </row>
    <row r="83" spans="52:70" x14ac:dyDescent="0.25">
      <c r="AZ83" s="74"/>
      <c r="BA83" s="65"/>
      <c r="BB83" s="63"/>
      <c r="BC83" s="75"/>
      <c r="BD83" s="16"/>
      <c r="BE83" s="131"/>
      <c r="BF83" s="59"/>
      <c r="BG83" s="132"/>
      <c r="BH83" s="60"/>
      <c r="BI83" s="18"/>
      <c r="BJ83" s="74"/>
      <c r="BK83" s="65"/>
      <c r="BL83" s="63"/>
      <c r="BM83" s="75"/>
      <c r="BN83" s="16"/>
      <c r="BO83" s="131"/>
      <c r="BP83" s="59"/>
      <c r="BQ83" s="132"/>
      <c r="BR83" s="60"/>
    </row>
    <row r="84" spans="52:70" x14ac:dyDescent="0.25">
      <c r="AZ84" s="61" t="s">
        <v>26</v>
      </c>
      <c r="BA84" s="63"/>
      <c r="BB84" s="65" t="s">
        <v>26</v>
      </c>
      <c r="BC84" s="67" t="s">
        <v>26</v>
      </c>
      <c r="BD84" s="16"/>
      <c r="BE84" s="89">
        <v>9</v>
      </c>
      <c r="BF84" s="132"/>
      <c r="BG84" s="58">
        <v>5</v>
      </c>
      <c r="BH84" s="86">
        <v>2</v>
      </c>
      <c r="BI84" s="18"/>
      <c r="BJ84" s="61"/>
      <c r="BK84" s="63"/>
      <c r="BL84" s="65" t="s">
        <v>26</v>
      </c>
      <c r="BM84" s="67" t="s">
        <v>26</v>
      </c>
      <c r="BN84" s="16"/>
      <c r="BO84" s="69"/>
      <c r="BP84" s="132"/>
      <c r="BQ84" s="58">
        <v>5</v>
      </c>
      <c r="BR84" s="86">
        <v>2</v>
      </c>
    </row>
    <row r="85" spans="52:70" x14ac:dyDescent="0.25">
      <c r="AZ85" s="62"/>
      <c r="BA85" s="64"/>
      <c r="BB85" s="66"/>
      <c r="BC85" s="68"/>
      <c r="BD85" s="16"/>
      <c r="BE85" s="70"/>
      <c r="BF85" s="134"/>
      <c r="BG85" s="73"/>
      <c r="BH85" s="135"/>
      <c r="BI85" s="18"/>
      <c r="BJ85" s="62"/>
      <c r="BK85" s="64"/>
      <c r="BL85" s="66"/>
      <c r="BM85" s="68"/>
      <c r="BN85" s="16"/>
      <c r="BO85" s="70"/>
      <c r="BP85" s="134"/>
      <c r="BQ85" s="73"/>
      <c r="BR85" s="135"/>
    </row>
    <row r="92" spans="52:70" x14ac:dyDescent="0.25">
      <c r="BG92" s="19"/>
    </row>
  </sheetData>
  <mergeCells count="452">
    <mergeCell ref="BS3:BS4"/>
    <mergeCell ref="B2:BS2"/>
    <mergeCell ref="AZ3:BR4"/>
    <mergeCell ref="AZ17:BR18"/>
    <mergeCell ref="AN21:AT24"/>
    <mergeCell ref="T20:AT20"/>
    <mergeCell ref="Y21:AC22"/>
    <mergeCell ref="AD21:AH22"/>
    <mergeCell ref="AI21:AM22"/>
    <mergeCell ref="T23:X24"/>
    <mergeCell ref="Y23:AC24"/>
    <mergeCell ref="AD23:AH24"/>
    <mergeCell ref="BE7:BE8"/>
    <mergeCell ref="AI23:AM24"/>
    <mergeCell ref="C3:Q3"/>
    <mergeCell ref="R3:R4"/>
    <mergeCell ref="T3:AH3"/>
    <mergeCell ref="AI3:AW3"/>
    <mergeCell ref="AZ21:BH21"/>
    <mergeCell ref="BC13:BC14"/>
    <mergeCell ref="BB13:BB14"/>
    <mergeCell ref="BA13:BA14"/>
    <mergeCell ref="AZ13:AZ14"/>
    <mergeCell ref="AZ11:AZ12"/>
    <mergeCell ref="BA11:BA12"/>
    <mergeCell ref="BB11:BB12"/>
    <mergeCell ref="BC7:BC8"/>
    <mergeCell ref="BA7:BA8"/>
    <mergeCell ref="C20:Q20"/>
    <mergeCell ref="B3:B4"/>
    <mergeCell ref="AY3:AY4"/>
    <mergeCell ref="S3:S4"/>
    <mergeCell ref="B20:B21"/>
    <mergeCell ref="T21:X22"/>
    <mergeCell ref="AZ7:AZ8"/>
    <mergeCell ref="BB7:BB8"/>
    <mergeCell ref="AX3:AX4"/>
    <mergeCell ref="BC11:BC12"/>
    <mergeCell ref="BC9:BC10"/>
    <mergeCell ref="BB9:BB10"/>
    <mergeCell ref="BA9:BA10"/>
    <mergeCell ref="AZ9:AZ10"/>
    <mergeCell ref="BJ21:BR21"/>
    <mergeCell ref="BF7:BF8"/>
    <mergeCell ref="BG7:BG8"/>
    <mergeCell ref="BH7:BH8"/>
    <mergeCell ref="BE9:BE10"/>
    <mergeCell ref="BF9:BF10"/>
    <mergeCell ref="BG9:BG10"/>
    <mergeCell ref="BH9:BH10"/>
    <mergeCell ref="BE11:BE12"/>
    <mergeCell ref="BF11:BF12"/>
    <mergeCell ref="BG11:BG12"/>
    <mergeCell ref="BH11:BH12"/>
    <mergeCell ref="BE13:BE14"/>
    <mergeCell ref="BF13:BF14"/>
    <mergeCell ref="BG13:BG14"/>
    <mergeCell ref="BH13:BH14"/>
    <mergeCell ref="BJ43:BR43"/>
    <mergeCell ref="BJ54:BR54"/>
    <mergeCell ref="BJ65:BR65"/>
    <mergeCell ref="BL23:BL24"/>
    <mergeCell ref="BM23:BM24"/>
    <mergeCell ref="BO23:BO24"/>
    <mergeCell ref="BP23:BP24"/>
    <mergeCell ref="BQ23:BQ24"/>
    <mergeCell ref="BR23:BR24"/>
    <mergeCell ref="BL25:BL26"/>
    <mergeCell ref="BM25:BM26"/>
    <mergeCell ref="BO25:BO26"/>
    <mergeCell ref="BP25:BP26"/>
    <mergeCell ref="BQ25:BQ26"/>
    <mergeCell ref="BJ23:BJ24"/>
    <mergeCell ref="BK23:BK24"/>
    <mergeCell ref="BJ25:BJ26"/>
    <mergeCell ref="BK25:BK26"/>
    <mergeCell ref="BJ29:BJ30"/>
    <mergeCell ref="BK29:BK30"/>
    <mergeCell ref="BR25:BR26"/>
    <mergeCell ref="BJ27:BJ28"/>
    <mergeCell ref="BK27:BK28"/>
    <mergeCell ref="BL27:BL28"/>
    <mergeCell ref="BJ76:BR76"/>
    <mergeCell ref="AZ23:AZ24"/>
    <mergeCell ref="BA23:BA24"/>
    <mergeCell ref="BB23:BB24"/>
    <mergeCell ref="BC23:BC24"/>
    <mergeCell ref="BE23:BE24"/>
    <mergeCell ref="BF23:BF24"/>
    <mergeCell ref="BG23:BG24"/>
    <mergeCell ref="BH23:BH24"/>
    <mergeCell ref="AZ25:AZ26"/>
    <mergeCell ref="BA25:BA26"/>
    <mergeCell ref="BB25:BB26"/>
    <mergeCell ref="BC25:BC26"/>
    <mergeCell ref="BE25:BE26"/>
    <mergeCell ref="BF25:BF26"/>
    <mergeCell ref="BG25:BG26"/>
    <mergeCell ref="AZ32:BH32"/>
    <mergeCell ref="AZ43:BH43"/>
    <mergeCell ref="AZ54:BH54"/>
    <mergeCell ref="AZ65:BH65"/>
    <mergeCell ref="AZ76:BH76"/>
    <mergeCell ref="AZ36:AZ37"/>
    <mergeCell ref="BA36:BA37"/>
    <mergeCell ref="BB36:BB37"/>
    <mergeCell ref="AZ29:AZ30"/>
    <mergeCell ref="BA29:BA30"/>
    <mergeCell ref="BB29:BB30"/>
    <mergeCell ref="BC29:BC30"/>
    <mergeCell ref="BE29:BE30"/>
    <mergeCell ref="BH25:BH26"/>
    <mergeCell ref="AZ27:AZ28"/>
    <mergeCell ref="BA27:BA28"/>
    <mergeCell ref="BB27:BB28"/>
    <mergeCell ref="BC27:BC28"/>
    <mergeCell ref="BE27:BE28"/>
    <mergeCell ref="BF27:BF28"/>
    <mergeCell ref="BG27:BG28"/>
    <mergeCell ref="BH27:BH28"/>
    <mergeCell ref="BM27:BM28"/>
    <mergeCell ref="BO27:BO28"/>
    <mergeCell ref="BP27:BP28"/>
    <mergeCell ref="BQ27:BQ28"/>
    <mergeCell ref="BR27:BR28"/>
    <mergeCell ref="BR29:BR30"/>
    <mergeCell ref="AZ34:AZ35"/>
    <mergeCell ref="BA34:BA35"/>
    <mergeCell ref="BB34:BB35"/>
    <mergeCell ref="BC34:BC35"/>
    <mergeCell ref="BE34:BE35"/>
    <mergeCell ref="BF34:BF35"/>
    <mergeCell ref="BG34:BG35"/>
    <mergeCell ref="BH34:BH35"/>
    <mergeCell ref="BL34:BL35"/>
    <mergeCell ref="BM34:BM35"/>
    <mergeCell ref="BO34:BO35"/>
    <mergeCell ref="BP34:BP35"/>
    <mergeCell ref="BQ34:BQ35"/>
    <mergeCell ref="BR34:BR35"/>
    <mergeCell ref="BL29:BL30"/>
    <mergeCell ref="BM29:BM30"/>
    <mergeCell ref="BO29:BO30"/>
    <mergeCell ref="BP29:BP30"/>
    <mergeCell ref="BQ29:BQ30"/>
    <mergeCell ref="BF29:BF30"/>
    <mergeCell ref="BG29:BG30"/>
    <mergeCell ref="BH29:BH30"/>
    <mergeCell ref="BG40:BG41"/>
    <mergeCell ref="BH40:BH41"/>
    <mergeCell ref="BJ34:BJ35"/>
    <mergeCell ref="BK34:BK35"/>
    <mergeCell ref="BJ36:BJ37"/>
    <mergeCell ref="BK36:BK37"/>
    <mergeCell ref="BJ40:BJ41"/>
    <mergeCell ref="BK40:BK41"/>
    <mergeCell ref="BH38:BH39"/>
    <mergeCell ref="BJ32:BR32"/>
    <mergeCell ref="AZ40:AZ41"/>
    <mergeCell ref="BA40:BA41"/>
    <mergeCell ref="BB40:BB41"/>
    <mergeCell ref="BC40:BC41"/>
    <mergeCell ref="BE40:BE41"/>
    <mergeCell ref="BC38:BC39"/>
    <mergeCell ref="BE38:BE39"/>
    <mergeCell ref="BF38:BF39"/>
    <mergeCell ref="BG38:BG39"/>
    <mergeCell ref="BA38:BA39"/>
    <mergeCell ref="BB38:BB39"/>
    <mergeCell ref="BC36:BC37"/>
    <mergeCell ref="BE36:BE37"/>
    <mergeCell ref="BF36:BF37"/>
    <mergeCell ref="BG36:BG37"/>
    <mergeCell ref="BH36:BH37"/>
    <mergeCell ref="AZ38:AZ39"/>
    <mergeCell ref="BR36:BR37"/>
    <mergeCell ref="BJ38:BJ39"/>
    <mergeCell ref="BK38:BK39"/>
    <mergeCell ref="BL38:BL39"/>
    <mergeCell ref="BM38:BM39"/>
    <mergeCell ref="BO38:BO39"/>
    <mergeCell ref="BP38:BP39"/>
    <mergeCell ref="BQ38:BQ39"/>
    <mergeCell ref="BR38:BR39"/>
    <mergeCell ref="BL36:BL37"/>
    <mergeCell ref="BM36:BM37"/>
    <mergeCell ref="BO36:BO37"/>
    <mergeCell ref="BP36:BP37"/>
    <mergeCell ref="BQ36:BQ37"/>
    <mergeCell ref="BB47:BB48"/>
    <mergeCell ref="BC47:BC48"/>
    <mergeCell ref="BE47:BE48"/>
    <mergeCell ref="BR40:BR41"/>
    <mergeCell ref="AZ45:AZ46"/>
    <mergeCell ref="BA45:BA46"/>
    <mergeCell ref="BB45:BB46"/>
    <mergeCell ref="BC45:BC46"/>
    <mergeCell ref="BE45:BE46"/>
    <mergeCell ref="BF45:BF46"/>
    <mergeCell ref="BG45:BG46"/>
    <mergeCell ref="BH45:BH46"/>
    <mergeCell ref="BL45:BL46"/>
    <mergeCell ref="BM45:BM46"/>
    <mergeCell ref="BO45:BO46"/>
    <mergeCell ref="BP45:BP46"/>
    <mergeCell ref="BQ45:BQ46"/>
    <mergeCell ref="BR45:BR46"/>
    <mergeCell ref="BL40:BL41"/>
    <mergeCell ref="BM40:BM41"/>
    <mergeCell ref="BO40:BO41"/>
    <mergeCell ref="BP40:BP41"/>
    <mergeCell ref="BQ40:BQ41"/>
    <mergeCell ref="BF40:BF41"/>
    <mergeCell ref="BJ45:BJ46"/>
    <mergeCell ref="BK45:BK46"/>
    <mergeCell ref="BJ47:BJ48"/>
    <mergeCell ref="BK47:BK48"/>
    <mergeCell ref="BJ51:BJ52"/>
    <mergeCell ref="BK51:BK52"/>
    <mergeCell ref="AZ51:AZ52"/>
    <mergeCell ref="BA51:BA52"/>
    <mergeCell ref="BB51:BB52"/>
    <mergeCell ref="BC51:BC52"/>
    <mergeCell ref="BE51:BE52"/>
    <mergeCell ref="BF47:BF48"/>
    <mergeCell ref="BG47:BG48"/>
    <mergeCell ref="BH47:BH48"/>
    <mergeCell ref="AZ49:AZ50"/>
    <mergeCell ref="BA49:BA50"/>
    <mergeCell ref="BB49:BB50"/>
    <mergeCell ref="BC49:BC50"/>
    <mergeCell ref="BE49:BE50"/>
    <mergeCell ref="BF49:BF50"/>
    <mergeCell ref="BG49:BG50"/>
    <mergeCell ref="BH49:BH50"/>
    <mergeCell ref="AZ47:AZ48"/>
    <mergeCell ref="BA47:BA48"/>
    <mergeCell ref="BR47:BR48"/>
    <mergeCell ref="BJ49:BJ50"/>
    <mergeCell ref="BK49:BK50"/>
    <mergeCell ref="BL49:BL50"/>
    <mergeCell ref="BM49:BM50"/>
    <mergeCell ref="BO49:BO50"/>
    <mergeCell ref="BP49:BP50"/>
    <mergeCell ref="BQ49:BQ50"/>
    <mergeCell ref="BR49:BR50"/>
    <mergeCell ref="BL47:BL48"/>
    <mergeCell ref="BM47:BM48"/>
    <mergeCell ref="BO47:BO48"/>
    <mergeCell ref="BP47:BP48"/>
    <mergeCell ref="BQ47:BQ48"/>
    <mergeCell ref="BR51:BR52"/>
    <mergeCell ref="AZ78:AZ79"/>
    <mergeCell ref="BA78:BA79"/>
    <mergeCell ref="BB78:BB79"/>
    <mergeCell ref="BC78:BC79"/>
    <mergeCell ref="BE78:BE79"/>
    <mergeCell ref="BF78:BF79"/>
    <mergeCell ref="BG78:BG79"/>
    <mergeCell ref="BH78:BH79"/>
    <mergeCell ref="BL78:BL79"/>
    <mergeCell ref="BM78:BM79"/>
    <mergeCell ref="BO78:BO79"/>
    <mergeCell ref="BP78:BP79"/>
    <mergeCell ref="BQ78:BQ79"/>
    <mergeCell ref="BR78:BR79"/>
    <mergeCell ref="BR69:BR70"/>
    <mergeCell ref="BL51:BL52"/>
    <mergeCell ref="BM51:BM52"/>
    <mergeCell ref="BO51:BO52"/>
    <mergeCell ref="BP51:BP52"/>
    <mergeCell ref="BQ51:BQ52"/>
    <mergeCell ref="BF51:BF52"/>
    <mergeCell ref="BG51:BG52"/>
    <mergeCell ref="BH51:BH52"/>
    <mergeCell ref="AZ84:AZ85"/>
    <mergeCell ref="BA84:BA85"/>
    <mergeCell ref="BB84:BB85"/>
    <mergeCell ref="BC84:BC85"/>
    <mergeCell ref="BE84:BE85"/>
    <mergeCell ref="BF80:BF81"/>
    <mergeCell ref="BG80:BG81"/>
    <mergeCell ref="BH80:BH81"/>
    <mergeCell ref="AZ82:AZ83"/>
    <mergeCell ref="BA82:BA83"/>
    <mergeCell ref="BB82:BB83"/>
    <mergeCell ref="BC82:BC83"/>
    <mergeCell ref="BE82:BE83"/>
    <mergeCell ref="BF82:BF83"/>
    <mergeCell ref="BG82:BG83"/>
    <mergeCell ref="BH82:BH83"/>
    <mergeCell ref="AZ80:AZ81"/>
    <mergeCell ref="BA80:BA81"/>
    <mergeCell ref="BB80:BB81"/>
    <mergeCell ref="BC80:BC81"/>
    <mergeCell ref="BE80:BE81"/>
    <mergeCell ref="BF84:BF85"/>
    <mergeCell ref="BG84:BG85"/>
    <mergeCell ref="BH84:BH85"/>
    <mergeCell ref="BJ78:BJ79"/>
    <mergeCell ref="BK78:BK79"/>
    <mergeCell ref="BJ80:BJ81"/>
    <mergeCell ref="BK80:BK81"/>
    <mergeCell ref="BJ84:BJ85"/>
    <mergeCell ref="BK84:BK85"/>
    <mergeCell ref="BL82:BL83"/>
    <mergeCell ref="BM82:BM83"/>
    <mergeCell ref="BO82:BO83"/>
    <mergeCell ref="BJ82:BJ83"/>
    <mergeCell ref="BK82:BK83"/>
    <mergeCell ref="BP82:BP83"/>
    <mergeCell ref="BQ82:BQ83"/>
    <mergeCell ref="BR82:BR83"/>
    <mergeCell ref="BL80:BL81"/>
    <mergeCell ref="BM80:BM81"/>
    <mergeCell ref="BO80:BO81"/>
    <mergeCell ref="BP80:BP81"/>
    <mergeCell ref="BQ80:BQ81"/>
    <mergeCell ref="BR84:BR85"/>
    <mergeCell ref="BL84:BL85"/>
    <mergeCell ref="BM84:BM85"/>
    <mergeCell ref="BO84:BO85"/>
    <mergeCell ref="BP84:BP85"/>
    <mergeCell ref="BQ84:BQ85"/>
    <mergeCell ref="BR80:BR81"/>
    <mergeCell ref="BJ67:BJ68"/>
    <mergeCell ref="BK67:BK68"/>
    <mergeCell ref="BL67:BL68"/>
    <mergeCell ref="BM67:BM68"/>
    <mergeCell ref="BO67:BO68"/>
    <mergeCell ref="BP67:BP68"/>
    <mergeCell ref="BQ67:BQ68"/>
    <mergeCell ref="BR67:BR68"/>
    <mergeCell ref="BJ69:BJ70"/>
    <mergeCell ref="BK69:BK70"/>
    <mergeCell ref="BL69:BL70"/>
    <mergeCell ref="BM69:BM70"/>
    <mergeCell ref="BO69:BO70"/>
    <mergeCell ref="BP69:BP70"/>
    <mergeCell ref="BQ69:BQ70"/>
    <mergeCell ref="BP71:BP72"/>
    <mergeCell ref="BQ71:BQ72"/>
    <mergeCell ref="BR71:BR72"/>
    <mergeCell ref="BJ73:BJ74"/>
    <mergeCell ref="BK73:BK74"/>
    <mergeCell ref="BL73:BL74"/>
    <mergeCell ref="BM73:BM74"/>
    <mergeCell ref="BO73:BO74"/>
    <mergeCell ref="BP73:BP74"/>
    <mergeCell ref="BQ73:BQ74"/>
    <mergeCell ref="BR73:BR74"/>
    <mergeCell ref="BJ71:BJ72"/>
    <mergeCell ref="BK71:BK72"/>
    <mergeCell ref="BL71:BL72"/>
    <mergeCell ref="BM71:BM72"/>
    <mergeCell ref="BO71:BO72"/>
    <mergeCell ref="BF67:BF68"/>
    <mergeCell ref="BG67:BG68"/>
    <mergeCell ref="BH67:BH68"/>
    <mergeCell ref="AZ69:AZ70"/>
    <mergeCell ref="BA69:BA70"/>
    <mergeCell ref="BB69:BB70"/>
    <mergeCell ref="BC69:BC70"/>
    <mergeCell ref="BE69:BE70"/>
    <mergeCell ref="BF69:BF70"/>
    <mergeCell ref="BG69:BG70"/>
    <mergeCell ref="BH69:BH70"/>
    <mergeCell ref="AZ67:AZ68"/>
    <mergeCell ref="BA67:BA68"/>
    <mergeCell ref="BB67:BB68"/>
    <mergeCell ref="BC67:BC68"/>
    <mergeCell ref="BE67:BE68"/>
    <mergeCell ref="BF71:BF72"/>
    <mergeCell ref="BG71:BG72"/>
    <mergeCell ref="BH71:BH72"/>
    <mergeCell ref="AZ73:AZ74"/>
    <mergeCell ref="BA73:BA74"/>
    <mergeCell ref="BB73:BB74"/>
    <mergeCell ref="BC73:BC74"/>
    <mergeCell ref="BE73:BE74"/>
    <mergeCell ref="BF73:BF74"/>
    <mergeCell ref="BG73:BG74"/>
    <mergeCell ref="BH73:BH74"/>
    <mergeCell ref="AZ71:AZ72"/>
    <mergeCell ref="BA71:BA72"/>
    <mergeCell ref="BB71:BB72"/>
    <mergeCell ref="BC71:BC72"/>
    <mergeCell ref="BE71:BE72"/>
    <mergeCell ref="BF56:BF57"/>
    <mergeCell ref="BG56:BG57"/>
    <mergeCell ref="BH56:BH57"/>
    <mergeCell ref="AZ58:AZ59"/>
    <mergeCell ref="BA58:BA59"/>
    <mergeCell ref="BB58:BB59"/>
    <mergeCell ref="BC58:BC59"/>
    <mergeCell ref="BE58:BE59"/>
    <mergeCell ref="BF58:BF59"/>
    <mergeCell ref="BG58:BG59"/>
    <mergeCell ref="BH58:BH59"/>
    <mergeCell ref="AZ56:AZ57"/>
    <mergeCell ref="BA56:BA57"/>
    <mergeCell ref="BB56:BB57"/>
    <mergeCell ref="BC56:BC57"/>
    <mergeCell ref="BE56:BE57"/>
    <mergeCell ref="BF60:BF61"/>
    <mergeCell ref="BG60:BG61"/>
    <mergeCell ref="BH60:BH61"/>
    <mergeCell ref="AZ62:AZ63"/>
    <mergeCell ref="BA62:BA63"/>
    <mergeCell ref="BB62:BB63"/>
    <mergeCell ref="BC62:BC63"/>
    <mergeCell ref="BE62:BE63"/>
    <mergeCell ref="BF62:BF63"/>
    <mergeCell ref="BG62:BG63"/>
    <mergeCell ref="BH62:BH63"/>
    <mergeCell ref="AZ60:AZ61"/>
    <mergeCell ref="BA60:BA61"/>
    <mergeCell ref="BB60:BB61"/>
    <mergeCell ref="BC60:BC61"/>
    <mergeCell ref="BE60:BE61"/>
    <mergeCell ref="BP56:BP57"/>
    <mergeCell ref="BQ56:BQ57"/>
    <mergeCell ref="BR56:BR57"/>
    <mergeCell ref="BJ58:BJ59"/>
    <mergeCell ref="BK58:BK59"/>
    <mergeCell ref="BL58:BL59"/>
    <mergeCell ref="BM58:BM59"/>
    <mergeCell ref="BO58:BO59"/>
    <mergeCell ref="BP58:BP59"/>
    <mergeCell ref="BQ58:BQ59"/>
    <mergeCell ref="BR58:BR59"/>
    <mergeCell ref="BJ56:BJ57"/>
    <mergeCell ref="BK56:BK57"/>
    <mergeCell ref="BL56:BL57"/>
    <mergeCell ref="BM56:BM57"/>
    <mergeCell ref="BO56:BO57"/>
    <mergeCell ref="BP60:BP61"/>
    <mergeCell ref="BQ60:BQ61"/>
    <mergeCell ref="BR60:BR61"/>
    <mergeCell ref="BJ62:BJ63"/>
    <mergeCell ref="BK62:BK63"/>
    <mergeCell ref="BL62:BL63"/>
    <mergeCell ref="BM62:BM63"/>
    <mergeCell ref="BO62:BO63"/>
    <mergeCell ref="BP62:BP63"/>
    <mergeCell ref="BQ62:BQ63"/>
    <mergeCell ref="BR62:BR63"/>
    <mergeCell ref="BJ60:BJ61"/>
    <mergeCell ref="BK60:BK61"/>
    <mergeCell ref="BL60:BL61"/>
    <mergeCell ref="BM60:BM61"/>
    <mergeCell ref="BO60:BO61"/>
  </mergeCells>
  <dataValidations count="4">
    <dataValidation type="list" showInputMessage="1" showErrorMessage="1" sqref="T23:X24" xr:uid="{9BC3D211-E805-438E-AF04-71E14A138885}">
      <formula1>"0,1,2,3,4,5,6,7,8,9,A,B,C,D,E"</formula1>
    </dataValidation>
    <dataValidation type="whole" allowBlank="1" showInputMessage="1" showErrorMessage="1" sqref="Y23:AC24" xr:uid="{508BF080-3B1B-4534-A153-1682915A9F1A}">
      <formula1>1</formula1>
      <formula2>10</formula2>
    </dataValidation>
    <dataValidation type="whole" allowBlank="1" showInputMessage="1" showErrorMessage="1" sqref="AD23:AH24" xr:uid="{D730F14C-1563-48EC-8F48-422E05DC6375}">
      <formula1>1</formula1>
      <formula2>100</formula2>
    </dataValidation>
    <dataValidation type="whole" allowBlank="1" showInputMessage="1" showErrorMessage="1" sqref="AI23:AM24" xr:uid="{9F0FD511-3B27-4E6D-8492-A725ED7DEC47}">
      <formula1>1</formula1>
      <formula2>15</formula2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Definiciones</vt:lpstr>
      <vt:lpstr>Algoritmo genético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</dc:creator>
  <cp:lastModifiedBy>Desktop</cp:lastModifiedBy>
  <dcterms:created xsi:type="dcterms:W3CDTF">2024-05-11T15:01:08Z</dcterms:created>
  <dcterms:modified xsi:type="dcterms:W3CDTF">2024-05-19T04:10:36Z</dcterms:modified>
</cp:coreProperties>
</file>